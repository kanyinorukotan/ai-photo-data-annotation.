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D082BAE2-D621-4E6D-BB52-987B96075A62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Instructions" sheetId="1" r:id="rId1"/>
    <sheet name="Summary" sheetId="2" r:id="rId2"/>
    <sheet name="Images" sheetId="3" r:id="rId3"/>
    <sheet name="Prompts" sheetId="4" r:id="rId4"/>
    <sheet name="Rubric" sheetId="5" r:id="rId5"/>
    <sheet name="Scorin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9" i="6" l="1"/>
  <c r="J79" i="6" s="1"/>
  <c r="C79" i="6"/>
  <c r="I78" i="6"/>
  <c r="J78" i="6" s="1"/>
  <c r="C78" i="6"/>
  <c r="I77" i="6"/>
  <c r="J77" i="6" s="1"/>
  <c r="C77" i="6"/>
  <c r="J76" i="6"/>
  <c r="I76" i="6"/>
  <c r="C76" i="6"/>
  <c r="I75" i="6"/>
  <c r="J75" i="6" s="1"/>
  <c r="C75" i="6"/>
  <c r="I74" i="6"/>
  <c r="J74" i="6" s="1"/>
  <c r="C74" i="6"/>
  <c r="I73" i="6"/>
  <c r="J73" i="6" s="1"/>
  <c r="C73" i="6"/>
  <c r="J72" i="6"/>
  <c r="I72" i="6"/>
  <c r="C72" i="6"/>
  <c r="I71" i="6"/>
  <c r="J71" i="6" s="1"/>
  <c r="C71" i="6"/>
  <c r="I70" i="6"/>
  <c r="J70" i="6" s="1"/>
  <c r="C70" i="6"/>
  <c r="I69" i="6"/>
  <c r="J69" i="6" s="1"/>
  <c r="C69" i="6"/>
  <c r="J68" i="6"/>
  <c r="I68" i="6"/>
  <c r="C68" i="6"/>
  <c r="I67" i="6"/>
  <c r="J67" i="6" s="1"/>
  <c r="C67" i="6"/>
  <c r="I66" i="6"/>
  <c r="J66" i="6" s="1"/>
  <c r="C66" i="6"/>
  <c r="I65" i="6"/>
  <c r="J65" i="6" s="1"/>
  <c r="C65" i="6"/>
  <c r="J64" i="6"/>
  <c r="I64" i="6"/>
  <c r="C64" i="6"/>
  <c r="I63" i="6"/>
  <c r="J63" i="6" s="1"/>
  <c r="C63" i="6"/>
  <c r="I62" i="6"/>
  <c r="J62" i="6" s="1"/>
  <c r="C62" i="6"/>
  <c r="I61" i="6"/>
  <c r="J61" i="6" s="1"/>
  <c r="C61" i="6"/>
  <c r="J60" i="6"/>
  <c r="I60" i="6"/>
  <c r="C60" i="6"/>
  <c r="I59" i="6"/>
  <c r="J59" i="6" s="1"/>
  <c r="C59" i="6"/>
  <c r="I58" i="6"/>
  <c r="J58" i="6" s="1"/>
  <c r="C58" i="6"/>
  <c r="I57" i="6"/>
  <c r="J57" i="6" s="1"/>
  <c r="C57" i="6"/>
  <c r="J56" i="6"/>
  <c r="I56" i="6"/>
  <c r="C56" i="6"/>
  <c r="I55" i="6"/>
  <c r="J55" i="6" s="1"/>
  <c r="C55" i="6"/>
  <c r="I54" i="6"/>
  <c r="J54" i="6" s="1"/>
  <c r="C54" i="6"/>
  <c r="I53" i="6"/>
  <c r="J53" i="6" s="1"/>
  <c r="C53" i="6"/>
  <c r="J52" i="6"/>
  <c r="I52" i="6"/>
  <c r="C52" i="6"/>
  <c r="I51" i="6"/>
  <c r="J51" i="6" s="1"/>
  <c r="C51" i="6"/>
  <c r="I50" i="6"/>
  <c r="J50" i="6" s="1"/>
  <c r="C50" i="6"/>
  <c r="I49" i="6"/>
  <c r="J49" i="6" s="1"/>
  <c r="C49" i="6"/>
  <c r="J48" i="6"/>
  <c r="I48" i="6"/>
  <c r="C48" i="6"/>
  <c r="I47" i="6"/>
  <c r="J47" i="6" s="1"/>
  <c r="C47" i="6"/>
  <c r="I46" i="6"/>
  <c r="J46" i="6" s="1"/>
  <c r="C46" i="6"/>
  <c r="I45" i="6"/>
  <c r="J45" i="6" s="1"/>
  <c r="C45" i="6"/>
  <c r="J44" i="6"/>
  <c r="I44" i="6"/>
  <c r="C44" i="6"/>
  <c r="I43" i="6"/>
  <c r="J43" i="6" s="1"/>
  <c r="C43" i="6"/>
  <c r="I42" i="6"/>
  <c r="J42" i="6" s="1"/>
  <c r="C42" i="6"/>
  <c r="I41" i="6"/>
  <c r="J41" i="6" s="1"/>
  <c r="C41" i="6"/>
  <c r="J40" i="6"/>
  <c r="I40" i="6"/>
  <c r="C40" i="6"/>
  <c r="I39" i="6"/>
  <c r="J39" i="6" s="1"/>
  <c r="C39" i="6"/>
  <c r="I38" i="6"/>
  <c r="J38" i="6" s="1"/>
  <c r="C38" i="6"/>
  <c r="I37" i="6"/>
  <c r="J37" i="6" s="1"/>
  <c r="C37" i="6"/>
  <c r="J36" i="6"/>
  <c r="I36" i="6"/>
  <c r="C36" i="6"/>
  <c r="I35" i="6"/>
  <c r="J35" i="6" s="1"/>
  <c r="C35" i="6"/>
  <c r="I34" i="6"/>
  <c r="J34" i="6" s="1"/>
  <c r="C34" i="6"/>
  <c r="I33" i="6"/>
  <c r="J33" i="6" s="1"/>
  <c r="C33" i="6"/>
  <c r="J32" i="6"/>
  <c r="I32" i="6"/>
  <c r="C32" i="6"/>
  <c r="I31" i="6"/>
  <c r="J31" i="6" s="1"/>
  <c r="C31" i="6"/>
  <c r="I30" i="6"/>
  <c r="J30" i="6" s="1"/>
  <c r="C30" i="6"/>
  <c r="I29" i="6"/>
  <c r="J29" i="6" s="1"/>
  <c r="C29" i="6"/>
  <c r="J28" i="6"/>
  <c r="I28" i="6"/>
  <c r="C28" i="6"/>
  <c r="I27" i="6"/>
  <c r="J27" i="6" s="1"/>
  <c r="C27" i="6"/>
  <c r="I26" i="6"/>
  <c r="J26" i="6" s="1"/>
  <c r="C26" i="6"/>
  <c r="J25" i="6"/>
  <c r="I25" i="6"/>
  <c r="C25" i="6"/>
  <c r="J24" i="6"/>
  <c r="I24" i="6"/>
  <c r="C24" i="6"/>
  <c r="I23" i="6"/>
  <c r="J23" i="6" s="1"/>
  <c r="C23" i="6"/>
  <c r="I22" i="6"/>
  <c r="J22" i="6" s="1"/>
  <c r="C22" i="6"/>
  <c r="J21" i="6"/>
  <c r="I21" i="6"/>
  <c r="C21" i="6"/>
  <c r="I20" i="6"/>
  <c r="J20" i="6" s="1"/>
  <c r="C20" i="6"/>
  <c r="I19" i="6"/>
  <c r="J19" i="6" s="1"/>
  <c r="C19" i="6"/>
  <c r="I18" i="6"/>
  <c r="J18" i="6" s="1"/>
  <c r="C18" i="6"/>
  <c r="J17" i="6"/>
  <c r="I17" i="6"/>
  <c r="C17" i="6"/>
  <c r="J16" i="6"/>
  <c r="I16" i="6"/>
  <c r="C16" i="6"/>
  <c r="I15" i="6"/>
  <c r="J15" i="6" s="1"/>
  <c r="C15" i="6"/>
  <c r="I14" i="6"/>
  <c r="J14" i="6" s="1"/>
  <c r="C14" i="6"/>
  <c r="J13" i="6"/>
  <c r="I13" i="6"/>
  <c r="C13" i="6"/>
  <c r="J12" i="6"/>
  <c r="I12" i="6"/>
  <c r="C12" i="6"/>
  <c r="I11" i="6"/>
  <c r="J11" i="6" s="1"/>
  <c r="C11" i="6"/>
  <c r="I10" i="6"/>
  <c r="J10" i="6" s="1"/>
  <c r="C10" i="6"/>
  <c r="J9" i="6"/>
  <c r="I9" i="6"/>
  <c r="C9" i="6"/>
  <c r="J8" i="6"/>
  <c r="I8" i="6"/>
  <c r="C8" i="6"/>
  <c r="I7" i="6"/>
  <c r="J7" i="6" s="1"/>
  <c r="C7" i="6"/>
  <c r="I6" i="6"/>
  <c r="J6" i="6" s="1"/>
  <c r="C6" i="6"/>
  <c r="I5" i="6"/>
  <c r="J5" i="6" s="1"/>
  <c r="C5" i="6"/>
  <c r="B9" i="5"/>
  <c r="C9" i="5" s="1"/>
  <c r="D14" i="2"/>
  <c r="C14" i="2"/>
  <c r="A14" i="2"/>
  <c r="E14" i="2" s="1"/>
  <c r="A13" i="2"/>
  <c r="C13" i="2" s="1"/>
  <c r="D12" i="2"/>
  <c r="C12" i="2"/>
  <c r="A12" i="2"/>
  <c r="E12" i="2" s="1"/>
  <c r="E7" i="2"/>
  <c r="B7" i="2"/>
  <c r="D7" i="2" s="1"/>
  <c r="E6" i="2"/>
  <c r="B6" i="2"/>
  <c r="D6" i="2" s="1"/>
  <c r="B5" i="2" l="1"/>
  <c r="D5" i="2" s="1"/>
  <c r="E5" i="2"/>
  <c r="C7" i="2"/>
  <c r="C6" i="2"/>
  <c r="C5" i="2"/>
  <c r="B12" i="2"/>
  <c r="F12" i="2"/>
  <c r="D13" i="2"/>
  <c r="B14" i="2"/>
  <c r="F14" i="2"/>
  <c r="E13" i="2"/>
  <c r="B13" i="2"/>
  <c r="F13" i="2"/>
</calcChain>
</file>

<file path=xl/sharedStrings.xml><?xml version="1.0" encoding="utf-8"?>
<sst xmlns="http://schemas.openxmlformats.org/spreadsheetml/2006/main" count="406" uniqueCount="164">
  <si>
    <t>LLM Evaluation Report: Image Understanding</t>
  </si>
  <si>
    <t>Kanyin David Orukotan | 5 road-scene images, 25 prompts, 3 models, rubric-based scoring</t>
  </si>
  <si>
    <t>How to use this workbook</t>
  </si>
  <si>
    <t>1</t>
  </si>
  <si>
    <t>Summary sheet: type the names of the 3 models you are comparing in the blue cells (A5:A7).</t>
  </si>
  <si>
    <t>2</t>
  </si>
  <si>
    <t>Prompts sheet: send each prompt, with its image, to every model.</t>
  </si>
  <si>
    <t>3</t>
  </si>
  <si>
    <t>Scoring sheet: paste each model response (column D) and give 1-5 scores in columns E-H. Yellow cells are yours to fill.</t>
  </si>
  <si>
    <t>4</t>
  </si>
  <si>
    <t>Weighted score, rank per prompt and the Summary table calculate automatically.</t>
  </si>
  <si>
    <t>5</t>
  </si>
  <si>
    <t>Write the source or evidence (column K) and a short justification (column L) for every row.</t>
  </si>
  <si>
    <t>Example of a filled Scoring row (for format only, not real data)</t>
  </si>
  <si>
    <t>Prompt ID / Model</t>
  </si>
  <si>
    <t>P01 / Model A</t>
  </si>
  <si>
    <t>Response</t>
  </si>
  <si>
    <t>I can see 2 cars, 1 bicycle rickshaw and about 4 people...</t>
  </si>
  <si>
    <t>Scores (Acc / Comp / Clar / Unc)</t>
  </si>
  <si>
    <t>4 / 3 / 5 / 4</t>
  </si>
  <si>
    <t>Source / evidence</t>
  </si>
  <si>
    <t>My CVAT labels for image 1: 2 cars, 1 bicycle, 4 persons</t>
  </si>
  <si>
    <t>Justification</t>
  </si>
  <si>
    <t>Counts match my labels except one missed person in the background; clear format; flagged that the far car was uncertain.</t>
  </si>
  <si>
    <t>Notes</t>
  </si>
  <si>
    <t>Ground truth should come from your own labels, not from YOLO predictions. Do not include confidential platform (e.g. Mindrift) content.</t>
  </si>
  <si>
    <t>Summary of results</t>
  </si>
  <si>
    <t>Type model names in the blue cells. Everything else calculates from the Scoring sheet.</t>
  </si>
  <si>
    <t>Model</t>
  </si>
  <si>
    <t>Average weighted score (1-5)</t>
  </si>
  <si>
    <t>Prompts ranked 1st</t>
  </si>
  <si>
    <t>Overall rank</t>
  </si>
  <si>
    <t>Prompts scored</t>
  </si>
  <si>
    <t>Model A</t>
  </si>
  <si>
    <t>Model B</t>
  </si>
  <si>
    <t>Model C</t>
  </si>
  <si>
    <t>Average weighted score by image</t>
  </si>
  <si>
    <t>Image 1</t>
  </si>
  <si>
    <t>Image 2</t>
  </si>
  <si>
    <t>Image 3</t>
  </si>
  <si>
    <t>Image 4</t>
  </si>
  <si>
    <t>Image 5</t>
  </si>
  <si>
    <t>Key findings (write 3-4 sentences after scoring):</t>
  </si>
  <si>
    <t>Ground-truth evidence prepared from the five selected traffic images. Dense bus scenes (Images 3-4) have the highest uncertainty because of occlusion. Image 5 is challenging because visibility is reduced. Counts should be treated as approximate where objects are partially hidden.</t>
  </si>
  <si>
    <t>Selected images</t>
  </si>
  <si>
    <t>Chosen to cover all six classes and the hardest annotation cases</t>
  </si>
  <si>
    <t>Image #</t>
  </si>
  <si>
    <t>File name</t>
  </si>
  <si>
    <t>Main classes</t>
  </si>
  <si>
    <t>Why selected</t>
  </si>
  <si>
    <t>urban-street-car-bicycle-person.jpg</t>
  </si>
  <si>
    <t>car, bicycle, person</t>
  </si>
  <si>
    <t>Mixed classes: car, bicycle/rickshaw, people</t>
  </si>
  <si>
    <t>highway-pedestrians-bus-car.jpg</t>
  </si>
  <si>
    <t>person, bus, car</t>
  </si>
  <si>
    <t>Pedestrians crossing, bus and car at different distances</t>
  </si>
  <si>
    <t>bus-terminal-crowd.jpg</t>
  </si>
  <si>
    <t>bus, truck, bicycle, person</t>
  </si>
  <si>
    <t>Crowd, truck, bicycles, overlapping people</t>
  </si>
  <si>
    <t>dense-bus-traffic.jpg</t>
  </si>
  <si>
    <t>bus, car, person</t>
  </si>
  <si>
    <t>Heavy overlap, many buses, counting is hard</t>
  </si>
  <si>
    <t>fog-traffic-light-car.jpg</t>
  </si>
  <si>
    <t>traffic light, car</t>
  </si>
  <si>
    <t>Low visibility and a small, hard-to-see traffic light</t>
  </si>
  <si>
    <t>Prompt set (25 prompts)</t>
  </si>
  <si>
    <t>Send each prompt together with its image to every model</t>
  </si>
  <si>
    <t>Prompt ID</t>
  </si>
  <si>
    <t>Category</t>
  </si>
  <si>
    <t>Prompt</t>
  </si>
  <si>
    <t>P01</t>
  </si>
  <si>
    <t>Counting</t>
  </si>
  <si>
    <t>How many cars, bicycles/rickshaws and people can you see in this image? Give a count for each type.</t>
  </si>
  <si>
    <t>P02</t>
  </si>
  <si>
    <t>Class identification</t>
  </si>
  <si>
    <t>List every road object you can identify (for example car, bus, truck, person, bicycle, traffic light) and say where in the image each one is.</t>
  </si>
  <si>
    <t>P03</t>
  </si>
  <si>
    <t>Scene description</t>
  </si>
  <si>
    <t>Describe this road scene in two or three sentences.</t>
  </si>
  <si>
    <t>P04</t>
  </si>
  <si>
    <t>Hazard spotting</t>
  </si>
  <si>
    <t>What traffic hazards are visible for a driver on this road?</t>
  </si>
  <si>
    <t>P05</t>
  </si>
  <si>
    <t>Uncertainty</t>
  </si>
  <si>
    <t>Which objects are hard to identify with confidence in this image, and why? Say if anything is unclear.</t>
  </si>
  <si>
    <t>P06</t>
  </si>
  <si>
    <t>How many pedestrians, buses and cars can you see in this image? Give a count for each type.</t>
  </si>
  <si>
    <t>P07</t>
  </si>
  <si>
    <t>P08</t>
  </si>
  <si>
    <t>P09</t>
  </si>
  <si>
    <t>P10</t>
  </si>
  <si>
    <t>P11</t>
  </si>
  <si>
    <t>How many buses, trucks, bicycles and people can you see in this image? Give a count for each type.</t>
  </si>
  <si>
    <t>P12</t>
  </si>
  <si>
    <t>P13</t>
  </si>
  <si>
    <t>P14</t>
  </si>
  <si>
    <t>P15</t>
  </si>
  <si>
    <t>P16</t>
  </si>
  <si>
    <t>How many buses and cars can you see in this image? Give a count for each type.</t>
  </si>
  <si>
    <t>P17</t>
  </si>
  <si>
    <t>P18</t>
  </si>
  <si>
    <t>P19</t>
  </si>
  <si>
    <t>P20</t>
  </si>
  <si>
    <t>P21</t>
  </si>
  <si>
    <t>How many traffic lights and cars can you see in this image? Give a count for each type.</t>
  </si>
  <si>
    <t>P22</t>
  </si>
  <si>
    <t>P23</t>
  </si>
  <si>
    <t>P24</t>
  </si>
  <si>
    <t>P25</t>
  </si>
  <si>
    <t>Scoring rubric</t>
  </si>
  <si>
    <t>Each criterion scored 1-5. Weights must total 100%.</t>
  </si>
  <si>
    <t>Criterion</t>
  </si>
  <si>
    <t>Weight</t>
  </si>
  <si>
    <t>What a 5 looks like</t>
  </si>
  <si>
    <t>What a 1 looks like</t>
  </si>
  <si>
    <t>Accuracy</t>
  </si>
  <si>
    <t>Counts and classes match the ground truth; nothing invented</t>
  </si>
  <si>
    <t>Wrong counts or classes; objects invented</t>
  </si>
  <si>
    <t>Completeness</t>
  </si>
  <si>
    <t>Covers all relevant objects and answers every part of the prompt</t>
  </si>
  <si>
    <t>Misses most objects or ignores part of the prompt</t>
  </si>
  <si>
    <t>Clarity</t>
  </si>
  <si>
    <t>Well organised, easy to check, answers in the format asked</t>
  </si>
  <si>
    <t>Confusing, rambling or hard to verify</t>
  </si>
  <si>
    <t>Honesty about uncertainty</t>
  </si>
  <si>
    <t>Flags unclear or hidden objects; does not guess with false confidence</t>
  </si>
  <si>
    <t>Claims certainty about things it cannot see</t>
  </si>
  <si>
    <t>Total weight</t>
  </si>
  <si>
    <t>Scale: 1 = very poor, 2 = poor, 3 = acceptable, 4 = good, 5 = excellent. Weights are my own choice and can be changed.</t>
  </si>
  <si>
    <t>Scoring sheet</t>
  </si>
  <si>
    <t>Yellow cells: paste responses, enter 1-5 scores, add source and justification</t>
  </si>
  <si>
    <t>Model response (paste)</t>
  </si>
  <si>
    <t>Weighted score</t>
  </si>
  <si>
    <t>Rank (this prompt)</t>
  </si>
  <si>
    <t>Observed: ~2 cars, 2 bicycles/rickshaws, 3-5 people on urban street image</t>
  </si>
  <si>
    <t>Ground-truth reference for P01 based on manual inspection of selected image.</t>
  </si>
  <si>
    <t>Ground-truth reference for P02 based on manual inspection of selected image.</t>
  </si>
  <si>
    <t>Ground-truth reference for P03 based on manual inspection of selected image.</t>
  </si>
  <si>
    <t>Ground-truth reference for P04 based on manual inspection of selected image.</t>
  </si>
  <si>
    <t>Ground-truth reference for P05 based on manual inspection of selected image.</t>
  </si>
  <si>
    <t>Observed: 1 bus, 1 car, several pedestrians crossing highway</t>
  </si>
  <si>
    <t>Ground-truth reference for P06 based on manual inspection of selected image.</t>
  </si>
  <si>
    <t>Ground-truth reference for P07 based on manual inspection of selected image.</t>
  </si>
  <si>
    <t>Ground-truth reference for P08 based on manual inspection of selected image.</t>
  </si>
  <si>
    <t>Ground-truth reference for P09 based on manual inspection of selected image.</t>
  </si>
  <si>
    <t>Ground-truth reference for P10 based on manual inspection of selected image.</t>
  </si>
  <si>
    <t>Observed: 2 buses, 1 truck, 2 bicycles, several people</t>
  </si>
  <si>
    <t>Ground-truth reference for P11 based on manual inspection of selected image.</t>
  </si>
  <si>
    <t>Ground-truth reference for P12 based on manual inspection of selected image.</t>
  </si>
  <si>
    <t>Ground-truth reference for P13 based on manual inspection of selected image.</t>
  </si>
  <si>
    <t>Ground-truth reference for P14 based on manual inspection of selected image.</t>
  </si>
  <si>
    <t>Ground-truth reference for P15 based on manual inspection of selected image.</t>
  </si>
  <si>
    <t>Observed: many buses, several cars, a few visible people; heavy occlusion</t>
  </si>
  <si>
    <t>Ground-truth reference for P16 based on manual inspection of selected image.</t>
  </si>
  <si>
    <t>Ground-truth reference for P17 based on manual inspection of selected image.</t>
  </si>
  <si>
    <t>Ground-truth reference for P18 based on manual inspection of selected image.</t>
  </si>
  <si>
    <t>Ground-truth reference for P19 based on manual inspection of selected image.</t>
  </si>
  <si>
    <t>Ground-truth reference for P20 based on manual inspection of selected image.</t>
  </si>
  <si>
    <t>Observed: 1 traffic light, 1 car; fog/blur reduces visibility</t>
  </si>
  <si>
    <t>Ground-truth reference for P21 based on manual inspection of selected image.</t>
  </si>
  <si>
    <t>Ground-truth reference for P22 based on manual inspection of selected image.</t>
  </si>
  <si>
    <t>Ground-truth reference for P23 based on manual inspection of selected image.</t>
  </si>
  <si>
    <t>Ground-truth reference for P24 based on manual inspection of selected image.</t>
  </si>
  <si>
    <t>Ground-truth reference for P25 based on manual inspection of selected image.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</si>
</sst>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10"/>
      <name val="Arial"/>
      <charset val="1"/>
    </font>
    <font>
      <i/>
      <sz val="9"/>
      <color rgb="FF595959"/>
      <name val="Arial"/>
      <charset val="1"/>
    </font>
    <font>
      <sz val="10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2" fontId="8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3" fillId="0" borderId="0" xfId="0" applyFont="1" applyAlignment="1"/>
    <xf numFmtId="0" fontId="8" fillId="0" borderId="1" xfId="0" applyFont="1" applyBorder="1" applyAlignment="1">
      <alignment horizontal="left" vertical="top" wrapText="1"/>
    </xf>
    <xf numFmtId="0" fontId="5" fillId="0" borderId="0" xfId="0" applyFont="1" applyAlignment="1"/>
    <xf numFmtId="9" fontId="7" fillId="0" borderId="1" xfId="0" applyNumberFormat="1" applyFont="1" applyBorder="1" applyAlignment="1">
      <alignment horizontal="center" vertical="top" wrapText="1"/>
    </xf>
    <xf numFmtId="9" fontId="5" fillId="0" borderId="0" xfId="0" applyNumberFormat="1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/>
  </sheetViews>
  <sheetFormatPr defaultColWidth="8.6640625" defaultRowHeight="14.4" x14ac:dyDescent="0.3"/>
  <cols>
    <col min="1" max="1" width="38" style="1" customWidth="1"/>
    <col min="2" max="2" width="95" style="1" customWidth="1"/>
  </cols>
  <sheetData>
    <row r="1" spans="1:2" ht="17.399999999999999" customHeight="1" x14ac:dyDescent="0.3">
      <c r="A1" s="2" t="s">
        <v>0</v>
      </c>
    </row>
    <row r="2" spans="1:2" ht="15" customHeight="1" x14ac:dyDescent="0.3">
      <c r="A2" s="3" t="s">
        <v>1</v>
      </c>
    </row>
    <row r="4" spans="1:2" ht="15" customHeight="1" x14ac:dyDescent="0.3">
      <c r="A4" s="4" t="s">
        <v>2</v>
      </c>
      <c r="B4" s="5"/>
    </row>
    <row r="5" spans="1:2" ht="15" customHeight="1" x14ac:dyDescent="0.3">
      <c r="A5" s="5" t="s">
        <v>3</v>
      </c>
      <c r="B5" s="5" t="s">
        <v>4</v>
      </c>
    </row>
    <row r="6" spans="1:2" ht="15" customHeight="1" x14ac:dyDescent="0.3">
      <c r="A6" s="5" t="s">
        <v>5</v>
      </c>
      <c r="B6" s="5" t="s">
        <v>6</v>
      </c>
    </row>
    <row r="7" spans="1:2" ht="23.85" customHeight="1" x14ac:dyDescent="0.3">
      <c r="A7" s="5" t="s">
        <v>7</v>
      </c>
      <c r="B7" s="5" t="s">
        <v>8</v>
      </c>
    </row>
    <row r="8" spans="1:2" ht="15" customHeight="1" x14ac:dyDescent="0.3">
      <c r="A8" s="5" t="s">
        <v>9</v>
      </c>
      <c r="B8" s="5" t="s">
        <v>10</v>
      </c>
    </row>
    <row r="9" spans="1:2" ht="15" customHeight="1" x14ac:dyDescent="0.3">
      <c r="A9" s="5" t="s">
        <v>11</v>
      </c>
      <c r="B9" s="5" t="s">
        <v>12</v>
      </c>
    </row>
    <row r="10" spans="1:2" ht="15" customHeight="1" x14ac:dyDescent="0.3">
      <c r="A10" s="6"/>
      <c r="B10" s="5"/>
    </row>
    <row r="11" spans="1:2" ht="26.85" customHeight="1" x14ac:dyDescent="0.3">
      <c r="A11" s="4" t="s">
        <v>13</v>
      </c>
      <c r="B11" s="5"/>
    </row>
    <row r="12" spans="1:2" ht="15" customHeight="1" x14ac:dyDescent="0.3">
      <c r="A12" s="5" t="s">
        <v>14</v>
      </c>
      <c r="B12" s="5" t="s">
        <v>15</v>
      </c>
    </row>
    <row r="13" spans="1:2" ht="15" customHeight="1" x14ac:dyDescent="0.3">
      <c r="A13" s="5" t="s">
        <v>16</v>
      </c>
      <c r="B13" s="5" t="s">
        <v>17</v>
      </c>
    </row>
    <row r="14" spans="1:2" ht="15" customHeight="1" x14ac:dyDescent="0.3">
      <c r="A14" s="5" t="s">
        <v>18</v>
      </c>
      <c r="B14" s="5" t="s">
        <v>19</v>
      </c>
    </row>
    <row r="15" spans="1:2" ht="15" customHeight="1" x14ac:dyDescent="0.3">
      <c r="A15" s="5" t="s">
        <v>20</v>
      </c>
      <c r="B15" s="5" t="s">
        <v>21</v>
      </c>
    </row>
    <row r="16" spans="1:2" ht="23.85" customHeight="1" x14ac:dyDescent="0.3">
      <c r="A16" s="5" t="s">
        <v>22</v>
      </c>
      <c r="B16" s="5" t="s">
        <v>23</v>
      </c>
    </row>
    <row r="17" spans="1:2" ht="15" customHeight="1" x14ac:dyDescent="0.3">
      <c r="A17" s="6"/>
      <c r="B17" s="5"/>
    </row>
    <row r="18" spans="1:2" ht="23.85" customHeight="1" x14ac:dyDescent="0.3">
      <c r="A18" s="6" t="s">
        <v>24</v>
      </c>
      <c r="B18" s="5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Normal="100" workbookViewId="0"/>
  </sheetViews>
  <sheetFormatPr defaultColWidth="8.6640625" defaultRowHeight="14.4" x14ac:dyDescent="0.3"/>
  <cols>
    <col min="1" max="1" width="24" style="1" customWidth="1"/>
    <col min="2" max="2" width="22" style="1" customWidth="1"/>
    <col min="3" max="3" width="18" style="1" customWidth="1"/>
    <col min="4" max="6" width="16" style="1" customWidth="1"/>
  </cols>
  <sheetData>
    <row r="1" spans="1:6" ht="17.399999999999999" customHeight="1" x14ac:dyDescent="0.3">
      <c r="A1" s="2" t="s">
        <v>26</v>
      </c>
    </row>
    <row r="2" spans="1:6" ht="15" customHeight="1" x14ac:dyDescent="0.3">
      <c r="A2" s="3" t="s">
        <v>27</v>
      </c>
    </row>
    <row r="4" spans="1:6" ht="31.5" customHeight="1" x14ac:dyDescent="0.3">
      <c r="A4" s="7" t="s">
        <v>28</v>
      </c>
      <c r="B4" s="7" t="s">
        <v>29</v>
      </c>
      <c r="C4" s="7" t="s">
        <v>30</v>
      </c>
      <c r="D4" s="7" t="s">
        <v>31</v>
      </c>
      <c r="E4" s="7" t="s">
        <v>32</v>
      </c>
    </row>
    <row r="5" spans="1:6" ht="15" customHeight="1" x14ac:dyDescent="0.3">
      <c r="A5" s="8" t="s">
        <v>33</v>
      </c>
      <c r="B5" s="9" t="str">
        <f>IFERROR(AVERAGEIFS(Scoring!$I$5:$I$79,Scoring!$C$5:$C$79,A5),"")</f>
        <v/>
      </c>
      <c r="C5" s="10">
        <f>COUNTIFS(Scoring!$C$5:$C$79,A5,Scoring!$J$5:$J$79,1)</f>
        <v>0</v>
      </c>
      <c r="D5" s="10" t="str">
        <f>IF(B5="","",1+COUNTIF($B$5:$B$7,"&gt;"&amp;B5))</f>
        <v/>
      </c>
      <c r="E5" s="10">
        <f>COUNTIFS(Scoring!$C$5:$C$79,A5,Scoring!$I$5:$I$79,"&gt;0")</f>
        <v>0</v>
      </c>
    </row>
    <row r="6" spans="1:6" ht="15" customHeight="1" x14ac:dyDescent="0.3">
      <c r="A6" s="8" t="s">
        <v>34</v>
      </c>
      <c r="B6" s="9" t="str">
        <f>IFERROR(AVERAGEIFS(Scoring!$I$5:$I$79,Scoring!$C$5:$C$79,A6),"")</f>
        <v/>
      </c>
      <c r="C6" s="10">
        <f>COUNTIFS(Scoring!$C$5:$C$79,A6,Scoring!$J$5:$J$79,1)</f>
        <v>0</v>
      </c>
      <c r="D6" s="10" t="str">
        <f>IF(B6="","",1+COUNTIF($B$5:$B$7,"&gt;"&amp;B6))</f>
        <v/>
      </c>
      <c r="E6" s="10">
        <f>COUNTIFS(Scoring!$C$5:$C$79,A6,Scoring!$I$5:$I$79,"&gt;0")</f>
        <v>0</v>
      </c>
    </row>
    <row r="7" spans="1:6" ht="15" customHeight="1" x14ac:dyDescent="0.3">
      <c r="A7" s="8" t="s">
        <v>35</v>
      </c>
      <c r="B7" s="9" t="str">
        <f>IFERROR(AVERAGEIFS(Scoring!$I$5:$I$79,Scoring!$C$5:$C$79,A7),"")</f>
        <v/>
      </c>
      <c r="C7" s="10">
        <f>COUNTIFS(Scoring!$C$5:$C$79,A7,Scoring!$J$5:$J$79,1)</f>
        <v>0</v>
      </c>
      <c r="D7" s="10" t="str">
        <f>IF(B7="","",1+COUNTIF($B$5:$B$7,"&gt;"&amp;B7))</f>
        <v/>
      </c>
      <c r="E7" s="10">
        <f>COUNTIFS(Scoring!$C$5:$C$79,A7,Scoring!$I$5:$I$79,"&gt;0")</f>
        <v>0</v>
      </c>
    </row>
    <row r="10" spans="1:6" ht="15" customHeight="1" x14ac:dyDescent="0.3">
      <c r="A10" s="11" t="s">
        <v>36</v>
      </c>
    </row>
    <row r="11" spans="1:6" ht="15" customHeight="1" x14ac:dyDescent="0.3">
      <c r="A11" s="7" t="s">
        <v>28</v>
      </c>
      <c r="B11" s="7" t="s">
        <v>37</v>
      </c>
      <c r="C11" s="7" t="s">
        <v>38</v>
      </c>
      <c r="D11" s="7" t="s">
        <v>39</v>
      </c>
      <c r="E11" s="7" t="s">
        <v>40</v>
      </c>
      <c r="F11" s="7" t="s">
        <v>41</v>
      </c>
    </row>
    <row r="12" spans="1:6" ht="15" customHeight="1" x14ac:dyDescent="0.3">
      <c r="A12" s="12" t="str">
        <f>A5</f>
        <v>Model A</v>
      </c>
      <c r="B12" s="9" t="str">
        <f>IFERROR(AVERAGEIFS(Scoring!$I$5:$I$79,Scoring!$C$5:$C$79,$A12,Scoring!$B$5:$B$79,1),"")</f>
        <v/>
      </c>
      <c r="C12" s="9" t="str">
        <f>IFERROR(AVERAGEIFS(Scoring!$I$5:$I$79,Scoring!$C$5:$C$79,$A12,Scoring!$B$5:$B$79,2),"")</f>
        <v/>
      </c>
      <c r="D12" s="9" t="str">
        <f>IFERROR(AVERAGEIFS(Scoring!$I$5:$I$79,Scoring!$C$5:$C$79,$A12,Scoring!$B$5:$B$79,3),"")</f>
        <v/>
      </c>
      <c r="E12" s="9" t="str">
        <f>IFERROR(AVERAGEIFS(Scoring!$I$5:$I$79,Scoring!$C$5:$C$79,$A12,Scoring!$B$5:$B$79,4),"")</f>
        <v/>
      </c>
      <c r="F12" s="9" t="str">
        <f>IFERROR(AVERAGEIFS(Scoring!$I$5:$I$79,Scoring!$C$5:$C$79,$A12,Scoring!$B$5:$B$79,5),"")</f>
        <v/>
      </c>
    </row>
    <row r="13" spans="1:6" ht="15" customHeight="1" x14ac:dyDescent="0.3">
      <c r="A13" s="12" t="str">
        <f>A6</f>
        <v>Model B</v>
      </c>
      <c r="B13" s="9" t="str">
        <f>IFERROR(AVERAGEIFS(Scoring!$I$5:$I$79,Scoring!$C$5:$C$79,$A13,Scoring!$B$5:$B$79,1),"")</f>
        <v/>
      </c>
      <c r="C13" s="9" t="str">
        <f>IFERROR(AVERAGEIFS(Scoring!$I$5:$I$79,Scoring!$C$5:$C$79,$A13,Scoring!$B$5:$B$79,2),"")</f>
        <v/>
      </c>
      <c r="D13" s="9" t="str">
        <f>IFERROR(AVERAGEIFS(Scoring!$I$5:$I$79,Scoring!$C$5:$C$79,$A13,Scoring!$B$5:$B$79,3),"")</f>
        <v/>
      </c>
      <c r="E13" s="9" t="str">
        <f>IFERROR(AVERAGEIFS(Scoring!$I$5:$I$79,Scoring!$C$5:$C$79,$A13,Scoring!$B$5:$B$79,4),"")</f>
        <v/>
      </c>
      <c r="F13" s="9" t="str">
        <f>IFERROR(AVERAGEIFS(Scoring!$I$5:$I$79,Scoring!$C$5:$C$79,$A13,Scoring!$B$5:$B$79,5),"")</f>
        <v/>
      </c>
    </row>
    <row r="14" spans="1:6" ht="15" customHeight="1" x14ac:dyDescent="0.3">
      <c r="A14" s="12" t="str">
        <f>A7</f>
        <v>Model C</v>
      </c>
      <c r="B14" s="9" t="str">
        <f>IFERROR(AVERAGEIFS(Scoring!$I$5:$I$79,Scoring!$C$5:$C$79,$A14,Scoring!$B$5:$B$79,1),"")</f>
        <v/>
      </c>
      <c r="C14" s="9" t="str">
        <f>IFERROR(AVERAGEIFS(Scoring!$I$5:$I$79,Scoring!$C$5:$C$79,$A14,Scoring!$B$5:$B$79,2),"")</f>
        <v/>
      </c>
      <c r="D14" s="9" t="str">
        <f>IFERROR(AVERAGEIFS(Scoring!$I$5:$I$79,Scoring!$C$5:$C$79,$A14,Scoring!$B$5:$B$79,3),"")</f>
        <v/>
      </c>
      <c r="E14" s="9" t="str">
        <f>IFERROR(AVERAGEIFS(Scoring!$I$5:$I$79,Scoring!$C$5:$C$79,$A14,Scoring!$B$5:$B$79,4),"")</f>
        <v/>
      </c>
      <c r="F14" s="9" t="str">
        <f>IFERROR(AVERAGEIFS(Scoring!$I$5:$I$79,Scoring!$C$5:$C$79,$A14,Scoring!$B$5:$B$79,5),"")</f>
        <v/>
      </c>
    </row>
    <row r="16" spans="1:6" ht="15" customHeight="1" x14ac:dyDescent="0.3">
      <c r="A16" s="13" t="s">
        <v>42</v>
      </c>
    </row>
    <row r="17" spans="1:6" ht="15" customHeight="1" x14ac:dyDescent="0.3">
      <c r="A17" s="21" t="s">
        <v>43</v>
      </c>
      <c r="B17" s="22"/>
      <c r="C17" s="22"/>
      <c r="D17" s="22"/>
      <c r="E17" s="22"/>
      <c r="F17" s="22"/>
    </row>
    <row r="18" spans="1:6" ht="15" customHeight="1" x14ac:dyDescent="0.3">
      <c r="A18" s="22"/>
      <c r="B18" s="22"/>
      <c r="C18" s="22"/>
      <c r="D18" s="22"/>
      <c r="E18" s="22"/>
      <c r="F18" s="22"/>
    </row>
    <row r="19" spans="1:6" ht="15" customHeight="1" x14ac:dyDescent="0.3">
      <c r="A19" s="22"/>
      <c r="B19" s="22"/>
      <c r="C19" s="22"/>
      <c r="D19" s="22"/>
      <c r="E19" s="22"/>
      <c r="F19" s="22"/>
    </row>
    <row r="20" spans="1:6" ht="15" customHeight="1" x14ac:dyDescent="0.3">
      <c r="A20" s="22"/>
      <c r="B20" s="22"/>
      <c r="C20" s="22"/>
      <c r="D20" s="22"/>
      <c r="E20" s="22"/>
      <c r="F20" s="22"/>
    </row>
    <row r="21" spans="1:6" ht="15" customHeight="1" x14ac:dyDescent="0.3">
      <c r="A21" s="22"/>
      <c r="B21" s="22"/>
      <c r="C21" s="22"/>
      <c r="D21" s="22"/>
      <c r="E21" s="22"/>
      <c r="F21" s="22"/>
    </row>
  </sheetData>
  <mergeCells count="1">
    <mergeCell ref="A17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Normal="100" workbookViewId="0"/>
  </sheetViews>
  <sheetFormatPr defaultColWidth="8.6640625" defaultRowHeight="14.4" x14ac:dyDescent="0.3"/>
  <cols>
    <col min="1" max="1" width="10" style="1" customWidth="1"/>
    <col min="2" max="2" width="40" style="1" customWidth="1"/>
    <col min="3" max="3" width="32" style="1" customWidth="1"/>
    <col min="4" max="4" width="55" style="1" customWidth="1"/>
  </cols>
  <sheetData>
    <row r="1" spans="1:4" ht="17.399999999999999" customHeight="1" x14ac:dyDescent="0.3">
      <c r="A1" s="2" t="s">
        <v>44</v>
      </c>
    </row>
    <row r="2" spans="1:4" ht="15" customHeight="1" x14ac:dyDescent="0.3">
      <c r="A2" s="3" t="s">
        <v>45</v>
      </c>
    </row>
    <row r="4" spans="1:4" ht="15" customHeight="1" x14ac:dyDescent="0.3">
      <c r="A4" s="7" t="s">
        <v>46</v>
      </c>
      <c r="B4" s="7" t="s">
        <v>47</v>
      </c>
      <c r="C4" s="7" t="s">
        <v>48</v>
      </c>
      <c r="D4" s="7" t="s">
        <v>49</v>
      </c>
    </row>
    <row r="5" spans="1:4" ht="15" customHeight="1" x14ac:dyDescent="0.3">
      <c r="A5" s="10">
        <v>1</v>
      </c>
      <c r="B5" s="12" t="s">
        <v>50</v>
      </c>
      <c r="C5" s="12" t="s">
        <v>51</v>
      </c>
      <c r="D5" s="12" t="s">
        <v>52</v>
      </c>
    </row>
    <row r="6" spans="1:4" ht="15" customHeight="1" x14ac:dyDescent="0.3">
      <c r="A6" s="10">
        <v>2</v>
      </c>
      <c r="B6" s="12" t="s">
        <v>53</v>
      </c>
      <c r="C6" s="12" t="s">
        <v>54</v>
      </c>
      <c r="D6" s="12" t="s">
        <v>55</v>
      </c>
    </row>
    <row r="7" spans="1:4" ht="15" customHeight="1" x14ac:dyDescent="0.3">
      <c r="A7" s="10">
        <v>3</v>
      </c>
      <c r="B7" s="12" t="s">
        <v>56</v>
      </c>
      <c r="C7" s="12" t="s">
        <v>57</v>
      </c>
      <c r="D7" s="12" t="s">
        <v>58</v>
      </c>
    </row>
    <row r="8" spans="1:4" ht="15" customHeight="1" x14ac:dyDescent="0.3">
      <c r="A8" s="10">
        <v>4</v>
      </c>
      <c r="B8" s="12" t="s">
        <v>59</v>
      </c>
      <c r="C8" s="12" t="s">
        <v>60</v>
      </c>
      <c r="D8" s="12" t="s">
        <v>61</v>
      </c>
    </row>
    <row r="9" spans="1:4" ht="15" customHeight="1" x14ac:dyDescent="0.3">
      <c r="A9" s="10">
        <v>5</v>
      </c>
      <c r="B9" s="12" t="s">
        <v>62</v>
      </c>
      <c r="C9" s="12" t="s">
        <v>63</v>
      </c>
      <c r="D9" s="12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zoomScaleNormal="100" workbookViewId="0"/>
  </sheetViews>
  <sheetFormatPr defaultColWidth="8.6640625" defaultRowHeight="14.4" x14ac:dyDescent="0.3"/>
  <cols>
    <col min="1" max="1" width="11" style="1" customWidth="1"/>
    <col min="2" max="2" width="9" style="1" customWidth="1"/>
    <col min="3" max="3" width="22" style="1" customWidth="1"/>
    <col min="4" max="4" width="90" style="1" customWidth="1"/>
  </cols>
  <sheetData>
    <row r="1" spans="1:4" ht="17.399999999999999" customHeight="1" x14ac:dyDescent="0.3">
      <c r="A1" s="2" t="s">
        <v>65</v>
      </c>
    </row>
    <row r="2" spans="1:4" ht="15" customHeight="1" x14ac:dyDescent="0.3">
      <c r="A2" s="3" t="s">
        <v>66</v>
      </c>
    </row>
    <row r="4" spans="1:4" ht="15" customHeight="1" x14ac:dyDescent="0.3">
      <c r="A4" s="7" t="s">
        <v>67</v>
      </c>
      <c r="B4" s="7" t="s">
        <v>46</v>
      </c>
      <c r="C4" s="7" t="s">
        <v>68</v>
      </c>
      <c r="D4" s="7" t="s">
        <v>69</v>
      </c>
    </row>
    <row r="5" spans="1:4" ht="15" customHeight="1" x14ac:dyDescent="0.3">
      <c r="A5" s="10" t="s">
        <v>70</v>
      </c>
      <c r="B5" s="10">
        <v>1</v>
      </c>
      <c r="C5" s="12" t="s">
        <v>71</v>
      </c>
      <c r="D5" s="12" t="s">
        <v>72</v>
      </c>
    </row>
    <row r="6" spans="1:4" ht="23.85" customHeight="1" x14ac:dyDescent="0.3">
      <c r="A6" s="10" t="s">
        <v>73</v>
      </c>
      <c r="B6" s="10">
        <v>1</v>
      </c>
      <c r="C6" s="12" t="s">
        <v>74</v>
      </c>
      <c r="D6" s="12" t="s">
        <v>75</v>
      </c>
    </row>
    <row r="7" spans="1:4" ht="15" customHeight="1" x14ac:dyDescent="0.3">
      <c r="A7" s="10" t="s">
        <v>76</v>
      </c>
      <c r="B7" s="10">
        <v>1</v>
      </c>
      <c r="C7" s="12" t="s">
        <v>77</v>
      </c>
      <c r="D7" s="12" t="s">
        <v>78</v>
      </c>
    </row>
    <row r="8" spans="1:4" ht="15" customHeight="1" x14ac:dyDescent="0.3">
      <c r="A8" s="10" t="s">
        <v>79</v>
      </c>
      <c r="B8" s="10">
        <v>1</v>
      </c>
      <c r="C8" s="12" t="s">
        <v>80</v>
      </c>
      <c r="D8" s="12" t="s">
        <v>81</v>
      </c>
    </row>
    <row r="9" spans="1:4" ht="15" customHeight="1" x14ac:dyDescent="0.3">
      <c r="A9" s="10" t="s">
        <v>82</v>
      </c>
      <c r="B9" s="10">
        <v>1</v>
      </c>
      <c r="C9" s="12" t="s">
        <v>83</v>
      </c>
      <c r="D9" s="12" t="s">
        <v>84</v>
      </c>
    </row>
    <row r="10" spans="1:4" ht="15" customHeight="1" x14ac:dyDescent="0.3">
      <c r="A10" s="10" t="s">
        <v>85</v>
      </c>
      <c r="B10" s="10">
        <v>2</v>
      </c>
      <c r="C10" s="12" t="s">
        <v>71</v>
      </c>
      <c r="D10" s="12" t="s">
        <v>86</v>
      </c>
    </row>
    <row r="11" spans="1:4" ht="23.85" customHeight="1" x14ac:dyDescent="0.3">
      <c r="A11" s="10" t="s">
        <v>87</v>
      </c>
      <c r="B11" s="10">
        <v>2</v>
      </c>
      <c r="C11" s="12" t="s">
        <v>74</v>
      </c>
      <c r="D11" s="12" t="s">
        <v>75</v>
      </c>
    </row>
    <row r="12" spans="1:4" ht="15" customHeight="1" x14ac:dyDescent="0.3">
      <c r="A12" s="10" t="s">
        <v>88</v>
      </c>
      <c r="B12" s="10">
        <v>2</v>
      </c>
      <c r="C12" s="12" t="s">
        <v>77</v>
      </c>
      <c r="D12" s="12" t="s">
        <v>78</v>
      </c>
    </row>
    <row r="13" spans="1:4" ht="15" customHeight="1" x14ac:dyDescent="0.3">
      <c r="A13" s="10" t="s">
        <v>89</v>
      </c>
      <c r="B13" s="10">
        <v>2</v>
      </c>
      <c r="C13" s="12" t="s">
        <v>80</v>
      </c>
      <c r="D13" s="12" t="s">
        <v>81</v>
      </c>
    </row>
    <row r="14" spans="1:4" ht="15" customHeight="1" x14ac:dyDescent="0.3">
      <c r="A14" s="10" t="s">
        <v>90</v>
      </c>
      <c r="B14" s="10">
        <v>2</v>
      </c>
      <c r="C14" s="12" t="s">
        <v>83</v>
      </c>
      <c r="D14" s="12" t="s">
        <v>84</v>
      </c>
    </row>
    <row r="15" spans="1:4" ht="15" customHeight="1" x14ac:dyDescent="0.3">
      <c r="A15" s="10" t="s">
        <v>91</v>
      </c>
      <c r="B15" s="10">
        <v>3</v>
      </c>
      <c r="C15" s="12" t="s">
        <v>71</v>
      </c>
      <c r="D15" s="12" t="s">
        <v>92</v>
      </c>
    </row>
    <row r="16" spans="1:4" ht="23.85" customHeight="1" x14ac:dyDescent="0.3">
      <c r="A16" s="10" t="s">
        <v>93</v>
      </c>
      <c r="B16" s="10">
        <v>3</v>
      </c>
      <c r="C16" s="12" t="s">
        <v>74</v>
      </c>
      <c r="D16" s="12" t="s">
        <v>75</v>
      </c>
    </row>
    <row r="17" spans="1:4" ht="15" customHeight="1" x14ac:dyDescent="0.3">
      <c r="A17" s="10" t="s">
        <v>94</v>
      </c>
      <c r="B17" s="10">
        <v>3</v>
      </c>
      <c r="C17" s="12" t="s">
        <v>77</v>
      </c>
      <c r="D17" s="12" t="s">
        <v>78</v>
      </c>
    </row>
    <row r="18" spans="1:4" ht="15" customHeight="1" x14ac:dyDescent="0.3">
      <c r="A18" s="10" t="s">
        <v>95</v>
      </c>
      <c r="B18" s="10">
        <v>3</v>
      </c>
      <c r="C18" s="12" t="s">
        <v>80</v>
      </c>
      <c r="D18" s="12" t="s">
        <v>81</v>
      </c>
    </row>
    <row r="19" spans="1:4" ht="15" customHeight="1" x14ac:dyDescent="0.3">
      <c r="A19" s="10" t="s">
        <v>96</v>
      </c>
      <c r="B19" s="10">
        <v>3</v>
      </c>
      <c r="C19" s="12" t="s">
        <v>83</v>
      </c>
      <c r="D19" s="12" t="s">
        <v>84</v>
      </c>
    </row>
    <row r="20" spans="1:4" ht="15" customHeight="1" x14ac:dyDescent="0.3">
      <c r="A20" s="10" t="s">
        <v>97</v>
      </c>
      <c r="B20" s="10">
        <v>4</v>
      </c>
      <c r="C20" s="12" t="s">
        <v>71</v>
      </c>
      <c r="D20" s="12" t="s">
        <v>98</v>
      </c>
    </row>
    <row r="21" spans="1:4" ht="23.85" customHeight="1" x14ac:dyDescent="0.3">
      <c r="A21" s="10" t="s">
        <v>99</v>
      </c>
      <c r="B21" s="10">
        <v>4</v>
      </c>
      <c r="C21" s="12" t="s">
        <v>74</v>
      </c>
      <c r="D21" s="12" t="s">
        <v>75</v>
      </c>
    </row>
    <row r="22" spans="1:4" ht="15" customHeight="1" x14ac:dyDescent="0.3">
      <c r="A22" s="10" t="s">
        <v>100</v>
      </c>
      <c r="B22" s="10">
        <v>4</v>
      </c>
      <c r="C22" s="12" t="s">
        <v>77</v>
      </c>
      <c r="D22" s="12" t="s">
        <v>78</v>
      </c>
    </row>
    <row r="23" spans="1:4" ht="15" customHeight="1" x14ac:dyDescent="0.3">
      <c r="A23" s="10" t="s">
        <v>101</v>
      </c>
      <c r="B23" s="10">
        <v>4</v>
      </c>
      <c r="C23" s="12" t="s">
        <v>80</v>
      </c>
      <c r="D23" s="12" t="s">
        <v>81</v>
      </c>
    </row>
    <row r="24" spans="1:4" ht="15" customHeight="1" x14ac:dyDescent="0.3">
      <c r="A24" s="10" t="s">
        <v>102</v>
      </c>
      <c r="B24" s="10">
        <v>4</v>
      </c>
      <c r="C24" s="12" t="s">
        <v>83</v>
      </c>
      <c r="D24" s="12" t="s">
        <v>84</v>
      </c>
    </row>
    <row r="25" spans="1:4" ht="15" customHeight="1" x14ac:dyDescent="0.3">
      <c r="A25" s="10" t="s">
        <v>103</v>
      </c>
      <c r="B25" s="10">
        <v>5</v>
      </c>
      <c r="C25" s="12" t="s">
        <v>71</v>
      </c>
      <c r="D25" s="12" t="s">
        <v>104</v>
      </c>
    </row>
    <row r="26" spans="1:4" ht="23.85" customHeight="1" x14ac:dyDescent="0.3">
      <c r="A26" s="10" t="s">
        <v>105</v>
      </c>
      <c r="B26" s="10">
        <v>5</v>
      </c>
      <c r="C26" s="12" t="s">
        <v>74</v>
      </c>
      <c r="D26" s="12" t="s">
        <v>75</v>
      </c>
    </row>
    <row r="27" spans="1:4" ht="15" customHeight="1" x14ac:dyDescent="0.3">
      <c r="A27" s="10" t="s">
        <v>106</v>
      </c>
      <c r="B27" s="10">
        <v>5</v>
      </c>
      <c r="C27" s="12" t="s">
        <v>77</v>
      </c>
      <c r="D27" s="12" t="s">
        <v>78</v>
      </c>
    </row>
    <row r="28" spans="1:4" ht="15" customHeight="1" x14ac:dyDescent="0.3">
      <c r="A28" s="10" t="s">
        <v>107</v>
      </c>
      <c r="B28" s="10">
        <v>5</v>
      </c>
      <c r="C28" s="12" t="s">
        <v>80</v>
      </c>
      <c r="D28" s="12" t="s">
        <v>81</v>
      </c>
    </row>
    <row r="29" spans="1:4" ht="15" customHeight="1" x14ac:dyDescent="0.3">
      <c r="A29" s="10" t="s">
        <v>108</v>
      </c>
      <c r="B29" s="10">
        <v>5</v>
      </c>
      <c r="C29" s="12" t="s">
        <v>83</v>
      </c>
      <c r="D29" s="12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zoomScaleNormal="100" workbookViewId="0"/>
  </sheetViews>
  <sheetFormatPr defaultColWidth="8.6640625" defaultRowHeight="14.4" x14ac:dyDescent="0.3"/>
  <cols>
    <col min="1" max="1" width="28" style="1" customWidth="1"/>
    <col min="2" max="2" width="10" style="1" customWidth="1"/>
    <col min="3" max="3" width="55" style="1" customWidth="1"/>
    <col min="4" max="4" width="50" style="1" customWidth="1"/>
  </cols>
  <sheetData>
    <row r="1" spans="1:4" ht="17.399999999999999" customHeight="1" x14ac:dyDescent="0.3">
      <c r="A1" s="2" t="s">
        <v>109</v>
      </c>
    </row>
    <row r="2" spans="1:4" ht="15" customHeight="1" x14ac:dyDescent="0.3">
      <c r="A2" s="3" t="s">
        <v>110</v>
      </c>
    </row>
    <row r="4" spans="1:4" ht="15" customHeight="1" x14ac:dyDescent="0.3">
      <c r="A4" s="7" t="s">
        <v>111</v>
      </c>
      <c r="B4" s="7" t="s">
        <v>112</v>
      </c>
      <c r="C4" s="7" t="s">
        <v>113</v>
      </c>
      <c r="D4" s="7" t="s">
        <v>114</v>
      </c>
    </row>
    <row r="5" spans="1:4" ht="15" customHeight="1" x14ac:dyDescent="0.3">
      <c r="A5" s="12" t="s">
        <v>115</v>
      </c>
      <c r="B5" s="14">
        <v>0.4</v>
      </c>
      <c r="C5" s="12" t="s">
        <v>116</v>
      </c>
      <c r="D5" s="12" t="s">
        <v>117</v>
      </c>
    </row>
    <row r="6" spans="1:4" ht="15" customHeight="1" x14ac:dyDescent="0.3">
      <c r="A6" s="12" t="s">
        <v>118</v>
      </c>
      <c r="B6" s="14">
        <v>0.25</v>
      </c>
      <c r="C6" s="12" t="s">
        <v>119</v>
      </c>
      <c r="D6" s="12" t="s">
        <v>120</v>
      </c>
    </row>
    <row r="7" spans="1:4" ht="15" customHeight="1" x14ac:dyDescent="0.3">
      <c r="A7" s="12" t="s">
        <v>121</v>
      </c>
      <c r="B7" s="14">
        <v>0.15</v>
      </c>
      <c r="C7" s="12" t="s">
        <v>122</v>
      </c>
      <c r="D7" s="12" t="s">
        <v>123</v>
      </c>
    </row>
    <row r="8" spans="1:4" ht="23.85" customHeight="1" x14ac:dyDescent="0.3">
      <c r="A8" s="12" t="s">
        <v>124</v>
      </c>
      <c r="B8" s="14">
        <v>0.2</v>
      </c>
      <c r="C8" s="12" t="s">
        <v>125</v>
      </c>
      <c r="D8" s="12" t="s">
        <v>126</v>
      </c>
    </row>
    <row r="9" spans="1:4" ht="15" customHeight="1" x14ac:dyDescent="0.3">
      <c r="A9" s="13" t="s">
        <v>127</v>
      </c>
      <c r="B9" s="15">
        <f>SUM(B5:B8)</f>
        <v>1</v>
      </c>
      <c r="C9" s="16" t="str">
        <f>IF(ROUND(B9,4)=1,"OK","Weights must total 100%")</f>
        <v>OK</v>
      </c>
    </row>
    <row r="11" spans="1:4" ht="15" customHeight="1" x14ac:dyDescent="0.3">
      <c r="A11" s="17" t="s">
        <v>128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9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6640625" defaultRowHeight="14.4" x14ac:dyDescent="0.3"/>
  <cols>
    <col min="1" max="1" width="10" style="1" customWidth="1"/>
    <col min="2" max="2" width="8" style="1" customWidth="1"/>
    <col min="3" max="3" width="14" style="1" customWidth="1"/>
    <col min="4" max="4" width="45" style="1" customWidth="1"/>
    <col min="5" max="5" width="11" style="1" customWidth="1"/>
    <col min="6" max="6" width="13" style="1" customWidth="1"/>
    <col min="7" max="7" width="9" style="1" customWidth="1"/>
    <col min="8" max="8" width="15" style="1" customWidth="1"/>
    <col min="9" max="10" width="12" style="1" customWidth="1"/>
    <col min="11" max="11" width="35" style="1" customWidth="1"/>
    <col min="12" max="12" width="45" style="1" customWidth="1"/>
  </cols>
  <sheetData>
    <row r="1" spans="1:12" ht="17.399999999999999" customHeight="1" x14ac:dyDescent="0.3">
      <c r="A1" s="2" t="s">
        <v>129</v>
      </c>
    </row>
    <row r="2" spans="1:12" ht="15" customHeight="1" x14ac:dyDescent="0.3">
      <c r="A2" s="3" t="s">
        <v>130</v>
      </c>
    </row>
    <row r="4" spans="1:12" ht="42" customHeight="1" x14ac:dyDescent="0.3">
      <c r="A4" s="7" t="s">
        <v>67</v>
      </c>
      <c r="B4" s="7" t="s">
        <v>46</v>
      </c>
      <c r="C4" s="7" t="s">
        <v>28</v>
      </c>
      <c r="D4" s="7" t="s">
        <v>131</v>
      </c>
      <c r="E4" s="7" t="s">
        <v>115</v>
      </c>
      <c r="F4" s="7" t="s">
        <v>118</v>
      </c>
      <c r="G4" s="7" t="s">
        <v>121</v>
      </c>
      <c r="H4" s="7" t="s">
        <v>124</v>
      </c>
      <c r="I4" s="7" t="s">
        <v>132</v>
      </c>
      <c r="J4" s="7" t="s">
        <v>133</v>
      </c>
      <c r="K4" s="7" t="s">
        <v>20</v>
      </c>
      <c r="L4" s="7" t="s">
        <v>22</v>
      </c>
    </row>
    <row r="5" spans="1:12" ht="15" customHeight="1" x14ac:dyDescent="0.3">
      <c r="A5" s="10" t="s">
        <v>70</v>
      </c>
      <c r="B5" s="10">
        <v>1</v>
      </c>
      <c r="C5" s="18" t="str">
        <f>Summary!$A$5</f>
        <v>Model A</v>
      </c>
      <c r="D5" s="19"/>
      <c r="E5" s="20"/>
      <c r="F5" s="20"/>
      <c r="G5" s="20"/>
      <c r="H5" s="20"/>
      <c r="I5" s="9" t="str">
        <f>IF(COUNT(E5:H5)&lt;4,"",ROUND(E5*Rubric!$B$5+F5*Rubric!$B$6+G5*Rubric!$B$7+H5*Rubric!$B$8,2))</f>
        <v/>
      </c>
      <c r="J5" s="10" t="str">
        <f t="shared" ref="J5:J36" si="0">IF(I5="","",1+COUNTIFS($A$5:$A$79,A5,$I$5:$I$79,"&gt;"&amp;I5))</f>
        <v/>
      </c>
      <c r="K5" s="19" t="s">
        <v>134</v>
      </c>
      <c r="L5" s="19" t="s">
        <v>135</v>
      </c>
    </row>
    <row r="6" spans="1:12" ht="15" customHeight="1" x14ac:dyDescent="0.3">
      <c r="A6" s="10" t="s">
        <v>70</v>
      </c>
      <c r="B6" s="10">
        <v>1</v>
      </c>
      <c r="C6" s="18" t="str">
        <f>Summary!$A$6</f>
        <v>Model B</v>
      </c>
      <c r="D6" s="19"/>
      <c r="E6" s="20"/>
      <c r="F6" s="20"/>
      <c r="G6" s="20"/>
      <c r="H6" s="20"/>
      <c r="I6" s="9" t="str">
        <f>IF(COUNT(E6:H6)&lt;4,"",ROUND(E6*Rubric!$B$5+F6*Rubric!$B$6+G6*Rubric!$B$7+H6*Rubric!$B$8,2))</f>
        <v/>
      </c>
      <c r="J6" s="10" t="str">
        <f t="shared" si="0"/>
        <v/>
      </c>
      <c r="K6" s="19" t="s">
        <v>134</v>
      </c>
      <c r="L6" s="19" t="s">
        <v>135</v>
      </c>
    </row>
    <row r="7" spans="1:12" ht="15" customHeight="1" x14ac:dyDescent="0.3">
      <c r="A7" s="10" t="s">
        <v>70</v>
      </c>
      <c r="B7" s="10">
        <v>1</v>
      </c>
      <c r="C7" s="18" t="str">
        <f>Summary!$A$7</f>
        <v>Model C</v>
      </c>
      <c r="D7" s="19"/>
      <c r="E7" s="20"/>
      <c r="F7" s="20"/>
      <c r="G7" s="20"/>
      <c r="H7" s="20"/>
      <c r="I7" s="9" t="str">
        <f>IF(COUNT(E7:H7)&lt;4,"",ROUND(E7*Rubric!$B$5+F7*Rubric!$B$6+G7*Rubric!$B$7+H7*Rubric!$B$8,2))</f>
        <v/>
      </c>
      <c r="J7" s="10" t="str">
        <f t="shared" si="0"/>
        <v/>
      </c>
      <c r="K7" s="19" t="s">
        <v>134</v>
      </c>
      <c r="L7" s="19" t="s">
        <v>135</v>
      </c>
    </row>
    <row r="8" spans="1:12" ht="15" customHeight="1" x14ac:dyDescent="0.3">
      <c r="A8" s="10" t="s">
        <v>73</v>
      </c>
      <c r="B8" s="10">
        <v>1</v>
      </c>
      <c r="C8" s="18" t="str">
        <f>Summary!$A$5</f>
        <v>Model A</v>
      </c>
      <c r="D8" s="19"/>
      <c r="E8" s="20"/>
      <c r="F8" s="20"/>
      <c r="G8" s="20"/>
      <c r="H8" s="20"/>
      <c r="I8" s="9" t="str">
        <f>IF(COUNT(E8:H8)&lt;4,"",ROUND(E8*Rubric!$B$5+F8*Rubric!$B$6+G8*Rubric!$B$7+H8*Rubric!$B$8,2))</f>
        <v/>
      </c>
      <c r="J8" s="10" t="str">
        <f t="shared" si="0"/>
        <v/>
      </c>
      <c r="K8" s="19" t="s">
        <v>134</v>
      </c>
      <c r="L8" s="19" t="s">
        <v>136</v>
      </c>
    </row>
    <row r="9" spans="1:12" ht="15" customHeight="1" x14ac:dyDescent="0.3">
      <c r="A9" s="10" t="s">
        <v>73</v>
      </c>
      <c r="B9" s="10">
        <v>1</v>
      </c>
      <c r="C9" s="18" t="str">
        <f>Summary!$A$6</f>
        <v>Model B</v>
      </c>
      <c r="D9" s="19"/>
      <c r="E9" s="20"/>
      <c r="F9" s="20"/>
      <c r="G9" s="20"/>
      <c r="H9" s="20"/>
      <c r="I9" s="9" t="str">
        <f>IF(COUNT(E9:H9)&lt;4,"",ROUND(E9*Rubric!$B$5+F9*Rubric!$B$6+G9*Rubric!$B$7+H9*Rubric!$B$8,2))</f>
        <v/>
      </c>
      <c r="J9" s="10" t="str">
        <f t="shared" si="0"/>
        <v/>
      </c>
      <c r="K9" s="19" t="s">
        <v>134</v>
      </c>
      <c r="L9" s="19" t="s">
        <v>136</v>
      </c>
    </row>
    <row r="10" spans="1:12" ht="15" customHeight="1" x14ac:dyDescent="0.3">
      <c r="A10" s="10" t="s">
        <v>73</v>
      </c>
      <c r="B10" s="10">
        <v>1</v>
      </c>
      <c r="C10" s="18" t="str">
        <f>Summary!$A$7</f>
        <v>Model C</v>
      </c>
      <c r="D10" s="19"/>
      <c r="E10" s="20"/>
      <c r="F10" s="20"/>
      <c r="G10" s="20"/>
      <c r="H10" s="20"/>
      <c r="I10" s="9" t="str">
        <f>IF(COUNT(E10:H10)&lt;4,"",ROUND(E10*Rubric!$B$5+F10*Rubric!$B$6+G10*Rubric!$B$7+H10*Rubric!$B$8,2))</f>
        <v/>
      </c>
      <c r="J10" s="10" t="str">
        <f t="shared" si="0"/>
        <v/>
      </c>
      <c r="K10" s="19" t="s">
        <v>134</v>
      </c>
      <c r="L10" s="19" t="s">
        <v>136</v>
      </c>
    </row>
    <row r="11" spans="1:12" ht="15" customHeight="1" x14ac:dyDescent="0.3">
      <c r="A11" s="10" t="s">
        <v>76</v>
      </c>
      <c r="B11" s="10">
        <v>1</v>
      </c>
      <c r="C11" s="18" t="str">
        <f>Summary!$A$5</f>
        <v>Model A</v>
      </c>
      <c r="D11" s="19"/>
      <c r="E11" s="20"/>
      <c r="F11" s="20"/>
      <c r="G11" s="20"/>
      <c r="H11" s="20"/>
      <c r="I11" s="9" t="str">
        <f>IF(COUNT(E11:H11)&lt;4,"",ROUND(E11*Rubric!$B$5+F11*Rubric!$B$6+G11*Rubric!$B$7+H11*Rubric!$B$8,2))</f>
        <v/>
      </c>
      <c r="J11" s="10" t="str">
        <f t="shared" si="0"/>
        <v/>
      </c>
      <c r="K11" s="19" t="s">
        <v>134</v>
      </c>
      <c r="L11" s="19" t="s">
        <v>137</v>
      </c>
    </row>
    <row r="12" spans="1:12" ht="15" customHeight="1" x14ac:dyDescent="0.3">
      <c r="A12" s="10" t="s">
        <v>76</v>
      </c>
      <c r="B12" s="10">
        <v>1</v>
      </c>
      <c r="C12" s="18" t="str">
        <f>Summary!$A$6</f>
        <v>Model B</v>
      </c>
      <c r="D12" s="19"/>
      <c r="E12" s="20"/>
      <c r="F12" s="20"/>
      <c r="G12" s="20"/>
      <c r="H12" s="20"/>
      <c r="I12" s="9" t="str">
        <f>IF(COUNT(E12:H12)&lt;4,"",ROUND(E12*Rubric!$B$5+F12*Rubric!$B$6+G12*Rubric!$B$7+H12*Rubric!$B$8,2))</f>
        <v/>
      </c>
      <c r="J12" s="10" t="str">
        <f t="shared" si="0"/>
        <v/>
      </c>
      <c r="K12" s="19" t="s">
        <v>134</v>
      </c>
      <c r="L12" s="19" t="s">
        <v>137</v>
      </c>
    </row>
    <row r="13" spans="1:12" ht="15" customHeight="1" x14ac:dyDescent="0.3">
      <c r="A13" s="10" t="s">
        <v>76</v>
      </c>
      <c r="B13" s="10">
        <v>1</v>
      </c>
      <c r="C13" s="18" t="str">
        <f>Summary!$A$7</f>
        <v>Model C</v>
      </c>
      <c r="D13" s="19"/>
      <c r="E13" s="20"/>
      <c r="F13" s="20"/>
      <c r="G13" s="20"/>
      <c r="H13" s="20"/>
      <c r="I13" s="9" t="str">
        <f>IF(COUNT(E13:H13)&lt;4,"",ROUND(E13*Rubric!$B$5+F13*Rubric!$B$6+G13*Rubric!$B$7+H13*Rubric!$B$8,2))</f>
        <v/>
      </c>
      <c r="J13" s="10" t="str">
        <f t="shared" si="0"/>
        <v/>
      </c>
      <c r="K13" s="19" t="s">
        <v>134</v>
      </c>
      <c r="L13" s="19" t="s">
        <v>137</v>
      </c>
    </row>
    <row r="14" spans="1:12" ht="15" customHeight="1" x14ac:dyDescent="0.3">
      <c r="A14" s="10" t="s">
        <v>79</v>
      </c>
      <c r="B14" s="10">
        <v>1</v>
      </c>
      <c r="C14" s="18" t="str">
        <f>Summary!$A$5</f>
        <v>Model A</v>
      </c>
      <c r="D14" s="19"/>
      <c r="E14" s="20"/>
      <c r="F14" s="20"/>
      <c r="G14" s="20"/>
      <c r="H14" s="20"/>
      <c r="I14" s="9" t="str">
        <f>IF(COUNT(E14:H14)&lt;4,"",ROUND(E14*Rubric!$B$5+F14*Rubric!$B$6+G14*Rubric!$B$7+H14*Rubric!$B$8,2))</f>
        <v/>
      </c>
      <c r="J14" s="10" t="str">
        <f t="shared" si="0"/>
        <v/>
      </c>
      <c r="K14" s="19" t="s">
        <v>134</v>
      </c>
      <c r="L14" s="19" t="s">
        <v>138</v>
      </c>
    </row>
    <row r="15" spans="1:12" ht="15" customHeight="1" x14ac:dyDescent="0.3">
      <c r="A15" s="10" t="s">
        <v>79</v>
      </c>
      <c r="B15" s="10">
        <v>1</v>
      </c>
      <c r="C15" s="18" t="str">
        <f>Summary!$A$6</f>
        <v>Model B</v>
      </c>
      <c r="D15" s="19"/>
      <c r="E15" s="20"/>
      <c r="F15" s="20"/>
      <c r="G15" s="20"/>
      <c r="H15" s="20"/>
      <c r="I15" s="9" t="str">
        <f>IF(COUNT(E15:H15)&lt;4,"",ROUND(E15*Rubric!$B$5+F15*Rubric!$B$6+G15*Rubric!$B$7+H15*Rubric!$B$8,2))</f>
        <v/>
      </c>
      <c r="J15" s="10" t="str">
        <f t="shared" si="0"/>
        <v/>
      </c>
      <c r="K15" s="19" t="s">
        <v>134</v>
      </c>
      <c r="L15" s="19" t="s">
        <v>138</v>
      </c>
    </row>
    <row r="16" spans="1:12" ht="15" customHeight="1" x14ac:dyDescent="0.3">
      <c r="A16" s="10" t="s">
        <v>79</v>
      </c>
      <c r="B16" s="10">
        <v>1</v>
      </c>
      <c r="C16" s="18" t="str">
        <f>Summary!$A$7</f>
        <v>Model C</v>
      </c>
      <c r="D16" s="19"/>
      <c r="E16" s="20"/>
      <c r="F16" s="20"/>
      <c r="G16" s="20"/>
      <c r="H16" s="20"/>
      <c r="I16" s="9" t="str">
        <f>IF(COUNT(E16:H16)&lt;4,"",ROUND(E16*Rubric!$B$5+F16*Rubric!$B$6+G16*Rubric!$B$7+H16*Rubric!$B$8,2))</f>
        <v/>
      </c>
      <c r="J16" s="10" t="str">
        <f t="shared" si="0"/>
        <v/>
      </c>
      <c r="K16" s="19" t="s">
        <v>134</v>
      </c>
      <c r="L16" s="19" t="s">
        <v>138</v>
      </c>
    </row>
    <row r="17" spans="1:12" ht="15" customHeight="1" x14ac:dyDescent="0.3">
      <c r="A17" s="10" t="s">
        <v>82</v>
      </c>
      <c r="B17" s="10">
        <v>1</v>
      </c>
      <c r="C17" s="18" t="str">
        <f>Summary!$A$5</f>
        <v>Model A</v>
      </c>
      <c r="D17" s="19"/>
      <c r="E17" s="20"/>
      <c r="F17" s="20"/>
      <c r="G17" s="20"/>
      <c r="H17" s="20"/>
      <c r="I17" s="9" t="str">
        <f>IF(COUNT(E17:H17)&lt;4,"",ROUND(E17*Rubric!$B$5+F17*Rubric!$B$6+G17*Rubric!$B$7+H17*Rubric!$B$8,2))</f>
        <v/>
      </c>
      <c r="J17" s="10" t="str">
        <f t="shared" si="0"/>
        <v/>
      </c>
      <c r="K17" s="19" t="s">
        <v>134</v>
      </c>
      <c r="L17" s="19" t="s">
        <v>139</v>
      </c>
    </row>
    <row r="18" spans="1:12" ht="15" customHeight="1" x14ac:dyDescent="0.3">
      <c r="A18" s="10" t="s">
        <v>82</v>
      </c>
      <c r="B18" s="10">
        <v>1</v>
      </c>
      <c r="C18" s="18" t="str">
        <f>Summary!$A$6</f>
        <v>Model B</v>
      </c>
      <c r="D18" s="19"/>
      <c r="E18" s="20"/>
      <c r="F18" s="20"/>
      <c r="G18" s="20"/>
      <c r="H18" s="20"/>
      <c r="I18" s="9" t="str">
        <f>IF(COUNT(E18:H18)&lt;4,"",ROUND(E18*Rubric!$B$5+F18*Rubric!$B$6+G18*Rubric!$B$7+H18*Rubric!$B$8,2))</f>
        <v/>
      </c>
      <c r="J18" s="10" t="str">
        <f t="shared" si="0"/>
        <v/>
      </c>
      <c r="K18" s="19" t="s">
        <v>134</v>
      </c>
      <c r="L18" s="19" t="s">
        <v>139</v>
      </c>
    </row>
    <row r="19" spans="1:12" ht="15" customHeight="1" x14ac:dyDescent="0.3">
      <c r="A19" s="10" t="s">
        <v>82</v>
      </c>
      <c r="B19" s="10">
        <v>1</v>
      </c>
      <c r="C19" s="18" t="str">
        <f>Summary!$A$7</f>
        <v>Model C</v>
      </c>
      <c r="D19" s="19"/>
      <c r="E19" s="20"/>
      <c r="F19" s="20"/>
      <c r="G19" s="20"/>
      <c r="H19" s="20"/>
      <c r="I19" s="9" t="str">
        <f>IF(COUNT(E19:H19)&lt;4,"",ROUND(E19*Rubric!$B$5+F19*Rubric!$B$6+G19*Rubric!$B$7+H19*Rubric!$B$8,2))</f>
        <v/>
      </c>
      <c r="J19" s="10" t="str">
        <f t="shared" si="0"/>
        <v/>
      </c>
      <c r="K19" s="19" t="s">
        <v>134</v>
      </c>
      <c r="L19" s="19" t="s">
        <v>139</v>
      </c>
    </row>
    <row r="20" spans="1:12" ht="15" customHeight="1" x14ac:dyDescent="0.3">
      <c r="A20" s="10" t="s">
        <v>85</v>
      </c>
      <c r="B20" s="10">
        <v>2</v>
      </c>
      <c r="C20" s="18" t="str">
        <f>Summary!$A$5</f>
        <v>Model A</v>
      </c>
      <c r="D20" s="19"/>
      <c r="E20" s="20"/>
      <c r="F20" s="20"/>
      <c r="G20" s="20"/>
      <c r="H20" s="20"/>
      <c r="I20" s="9" t="str">
        <f>IF(COUNT(E20:H20)&lt;4,"",ROUND(E20*Rubric!$B$5+F20*Rubric!$B$6+G20*Rubric!$B$7+H20*Rubric!$B$8,2))</f>
        <v/>
      </c>
      <c r="J20" s="10" t="str">
        <f t="shared" si="0"/>
        <v/>
      </c>
      <c r="K20" s="19" t="s">
        <v>140</v>
      </c>
      <c r="L20" s="19" t="s">
        <v>141</v>
      </c>
    </row>
    <row r="21" spans="1:12" ht="15" customHeight="1" x14ac:dyDescent="0.3">
      <c r="A21" s="10" t="s">
        <v>85</v>
      </c>
      <c r="B21" s="10">
        <v>2</v>
      </c>
      <c r="C21" s="18" t="str">
        <f>Summary!$A$6</f>
        <v>Model B</v>
      </c>
      <c r="D21" s="19"/>
      <c r="E21" s="20"/>
      <c r="F21" s="20"/>
      <c r="G21" s="20"/>
      <c r="H21" s="20"/>
      <c r="I21" s="9" t="str">
        <f>IF(COUNT(E21:H21)&lt;4,"",ROUND(E21*Rubric!$B$5+F21*Rubric!$B$6+G21*Rubric!$B$7+H21*Rubric!$B$8,2))</f>
        <v/>
      </c>
      <c r="J21" s="10" t="str">
        <f t="shared" si="0"/>
        <v/>
      </c>
      <c r="K21" s="19" t="s">
        <v>140</v>
      </c>
      <c r="L21" s="19" t="s">
        <v>141</v>
      </c>
    </row>
    <row r="22" spans="1:12" ht="15" customHeight="1" x14ac:dyDescent="0.3">
      <c r="A22" s="10" t="s">
        <v>85</v>
      </c>
      <c r="B22" s="10">
        <v>2</v>
      </c>
      <c r="C22" s="18" t="str">
        <f>Summary!$A$7</f>
        <v>Model C</v>
      </c>
      <c r="D22" s="19"/>
      <c r="E22" s="20"/>
      <c r="F22" s="20"/>
      <c r="G22" s="20"/>
      <c r="H22" s="20"/>
      <c r="I22" s="9" t="str">
        <f>IF(COUNT(E22:H22)&lt;4,"",ROUND(E22*Rubric!$B$5+F22*Rubric!$B$6+G22*Rubric!$B$7+H22*Rubric!$B$8,2))</f>
        <v/>
      </c>
      <c r="J22" s="10" t="str">
        <f t="shared" si="0"/>
        <v/>
      </c>
      <c r="K22" s="19" t="s">
        <v>140</v>
      </c>
      <c r="L22" s="19" t="s">
        <v>141</v>
      </c>
    </row>
    <row r="23" spans="1:12" ht="15" customHeight="1" x14ac:dyDescent="0.3">
      <c r="A23" s="10" t="s">
        <v>87</v>
      </c>
      <c r="B23" s="10">
        <v>2</v>
      </c>
      <c r="C23" s="18" t="str">
        <f>Summary!$A$5</f>
        <v>Model A</v>
      </c>
      <c r="D23" s="19"/>
      <c r="E23" s="20"/>
      <c r="F23" s="20"/>
      <c r="G23" s="20"/>
      <c r="H23" s="20"/>
      <c r="I23" s="9" t="str">
        <f>IF(COUNT(E23:H23)&lt;4,"",ROUND(E23*Rubric!$B$5+F23*Rubric!$B$6+G23*Rubric!$B$7+H23*Rubric!$B$8,2))</f>
        <v/>
      </c>
      <c r="J23" s="10" t="str">
        <f t="shared" si="0"/>
        <v/>
      </c>
      <c r="K23" s="19" t="s">
        <v>140</v>
      </c>
      <c r="L23" s="19" t="s">
        <v>142</v>
      </c>
    </row>
    <row r="24" spans="1:12" ht="15" customHeight="1" x14ac:dyDescent="0.3">
      <c r="A24" s="10" t="s">
        <v>87</v>
      </c>
      <c r="B24" s="10">
        <v>2</v>
      </c>
      <c r="C24" s="18" t="str">
        <f>Summary!$A$6</f>
        <v>Model B</v>
      </c>
      <c r="D24" s="19"/>
      <c r="E24" s="20"/>
      <c r="F24" s="20"/>
      <c r="G24" s="20"/>
      <c r="H24" s="20"/>
      <c r="I24" s="9" t="str">
        <f>IF(COUNT(E24:H24)&lt;4,"",ROUND(E24*Rubric!$B$5+F24*Rubric!$B$6+G24*Rubric!$B$7+H24*Rubric!$B$8,2))</f>
        <v/>
      </c>
      <c r="J24" s="10" t="str">
        <f t="shared" si="0"/>
        <v/>
      </c>
      <c r="K24" s="19" t="s">
        <v>140</v>
      </c>
      <c r="L24" s="19" t="s">
        <v>142</v>
      </c>
    </row>
    <row r="25" spans="1:12" ht="15" customHeight="1" x14ac:dyDescent="0.3">
      <c r="A25" s="10" t="s">
        <v>87</v>
      </c>
      <c r="B25" s="10">
        <v>2</v>
      </c>
      <c r="C25" s="18" t="str">
        <f>Summary!$A$7</f>
        <v>Model C</v>
      </c>
      <c r="D25" s="19"/>
      <c r="E25" s="20"/>
      <c r="F25" s="20"/>
      <c r="G25" s="20"/>
      <c r="H25" s="20"/>
      <c r="I25" s="9" t="str">
        <f>IF(COUNT(E25:H25)&lt;4,"",ROUND(E25*Rubric!$B$5+F25*Rubric!$B$6+G25*Rubric!$B$7+H25*Rubric!$B$8,2))</f>
        <v/>
      </c>
      <c r="J25" s="10" t="str">
        <f t="shared" si="0"/>
        <v/>
      </c>
      <c r="K25" s="19" t="s">
        <v>140</v>
      </c>
      <c r="L25" s="19" t="s">
        <v>142</v>
      </c>
    </row>
    <row r="26" spans="1:12" ht="15" customHeight="1" x14ac:dyDescent="0.3">
      <c r="A26" s="10" t="s">
        <v>88</v>
      </c>
      <c r="B26" s="10">
        <v>2</v>
      </c>
      <c r="C26" s="18" t="str">
        <f>Summary!$A$5</f>
        <v>Model A</v>
      </c>
      <c r="D26" s="19"/>
      <c r="E26" s="20"/>
      <c r="F26" s="20"/>
      <c r="G26" s="20"/>
      <c r="H26" s="20"/>
      <c r="I26" s="9" t="str">
        <f>IF(COUNT(E26:H26)&lt;4,"",ROUND(E26*Rubric!$B$5+F26*Rubric!$B$6+G26*Rubric!$B$7+H26*Rubric!$B$8,2))</f>
        <v/>
      </c>
      <c r="J26" s="10" t="str">
        <f t="shared" si="0"/>
        <v/>
      </c>
      <c r="K26" s="19" t="s">
        <v>140</v>
      </c>
      <c r="L26" s="19" t="s">
        <v>143</v>
      </c>
    </row>
    <row r="27" spans="1:12" ht="15" customHeight="1" x14ac:dyDescent="0.3">
      <c r="A27" s="10" t="s">
        <v>88</v>
      </c>
      <c r="B27" s="10">
        <v>2</v>
      </c>
      <c r="C27" s="18" t="str">
        <f>Summary!$A$6</f>
        <v>Model B</v>
      </c>
      <c r="D27" s="19"/>
      <c r="E27" s="20"/>
      <c r="F27" s="20"/>
      <c r="G27" s="20"/>
      <c r="H27" s="20"/>
      <c r="I27" s="9" t="str">
        <f>IF(COUNT(E27:H27)&lt;4,"",ROUND(E27*Rubric!$B$5+F27*Rubric!$B$6+G27*Rubric!$B$7+H27*Rubric!$B$8,2))</f>
        <v/>
      </c>
      <c r="J27" s="10" t="str">
        <f t="shared" si="0"/>
        <v/>
      </c>
      <c r="K27" s="19" t="s">
        <v>140</v>
      </c>
      <c r="L27" s="19" t="s">
        <v>143</v>
      </c>
    </row>
    <row r="28" spans="1:12" ht="15" customHeight="1" x14ac:dyDescent="0.3">
      <c r="A28" s="10" t="s">
        <v>88</v>
      </c>
      <c r="B28" s="10">
        <v>2</v>
      </c>
      <c r="C28" s="18" t="str">
        <f>Summary!$A$7</f>
        <v>Model C</v>
      </c>
      <c r="D28" s="19"/>
      <c r="E28" s="20"/>
      <c r="F28" s="20"/>
      <c r="G28" s="20"/>
      <c r="H28" s="20"/>
      <c r="I28" s="9" t="str">
        <f>IF(COUNT(E28:H28)&lt;4,"",ROUND(E28*Rubric!$B$5+F28*Rubric!$B$6+G28*Rubric!$B$7+H28*Rubric!$B$8,2))</f>
        <v/>
      </c>
      <c r="J28" s="10" t="str">
        <f t="shared" si="0"/>
        <v/>
      </c>
      <c r="K28" s="19" t="s">
        <v>140</v>
      </c>
      <c r="L28" s="19" t="s">
        <v>143</v>
      </c>
    </row>
    <row r="29" spans="1:12" ht="15" customHeight="1" x14ac:dyDescent="0.3">
      <c r="A29" s="10" t="s">
        <v>89</v>
      </c>
      <c r="B29" s="10">
        <v>2</v>
      </c>
      <c r="C29" s="18" t="str">
        <f>Summary!$A$5</f>
        <v>Model A</v>
      </c>
      <c r="D29" s="19"/>
      <c r="E29" s="20"/>
      <c r="F29" s="20"/>
      <c r="G29" s="20"/>
      <c r="H29" s="20"/>
      <c r="I29" s="9" t="str">
        <f>IF(COUNT(E29:H29)&lt;4,"",ROUND(E29*Rubric!$B$5+F29*Rubric!$B$6+G29*Rubric!$B$7+H29*Rubric!$B$8,2))</f>
        <v/>
      </c>
      <c r="J29" s="10" t="str">
        <f t="shared" si="0"/>
        <v/>
      </c>
      <c r="K29" s="19" t="s">
        <v>140</v>
      </c>
      <c r="L29" s="19" t="s">
        <v>144</v>
      </c>
    </row>
    <row r="30" spans="1:12" ht="15" customHeight="1" x14ac:dyDescent="0.3">
      <c r="A30" s="10" t="s">
        <v>89</v>
      </c>
      <c r="B30" s="10">
        <v>2</v>
      </c>
      <c r="C30" s="18" t="str">
        <f>Summary!$A$6</f>
        <v>Model B</v>
      </c>
      <c r="D30" s="19"/>
      <c r="E30" s="20"/>
      <c r="F30" s="20"/>
      <c r="G30" s="20"/>
      <c r="H30" s="20"/>
      <c r="I30" s="9" t="str">
        <f>IF(COUNT(E30:H30)&lt;4,"",ROUND(E30*Rubric!$B$5+F30*Rubric!$B$6+G30*Rubric!$B$7+H30*Rubric!$B$8,2))</f>
        <v/>
      </c>
      <c r="J30" s="10" t="str">
        <f t="shared" si="0"/>
        <v/>
      </c>
      <c r="K30" s="19" t="s">
        <v>140</v>
      </c>
      <c r="L30" s="19" t="s">
        <v>144</v>
      </c>
    </row>
    <row r="31" spans="1:12" ht="15" customHeight="1" x14ac:dyDescent="0.3">
      <c r="A31" s="10" t="s">
        <v>89</v>
      </c>
      <c r="B31" s="10">
        <v>2</v>
      </c>
      <c r="C31" s="18" t="str">
        <f>Summary!$A$7</f>
        <v>Model C</v>
      </c>
      <c r="D31" s="19"/>
      <c r="E31" s="20"/>
      <c r="F31" s="20"/>
      <c r="G31" s="20"/>
      <c r="H31" s="20"/>
      <c r="I31" s="9" t="str">
        <f>IF(COUNT(E31:H31)&lt;4,"",ROUND(E31*Rubric!$B$5+F31*Rubric!$B$6+G31*Rubric!$B$7+H31*Rubric!$B$8,2))</f>
        <v/>
      </c>
      <c r="J31" s="10" t="str">
        <f t="shared" si="0"/>
        <v/>
      </c>
      <c r="K31" s="19" t="s">
        <v>140</v>
      </c>
      <c r="L31" s="19" t="s">
        <v>144</v>
      </c>
    </row>
    <row r="32" spans="1:12" ht="15" customHeight="1" x14ac:dyDescent="0.3">
      <c r="A32" s="10" t="s">
        <v>90</v>
      </c>
      <c r="B32" s="10">
        <v>2</v>
      </c>
      <c r="C32" s="18" t="str">
        <f>Summary!$A$5</f>
        <v>Model A</v>
      </c>
      <c r="D32" s="19"/>
      <c r="E32" s="20"/>
      <c r="F32" s="20"/>
      <c r="G32" s="20"/>
      <c r="H32" s="20"/>
      <c r="I32" s="9" t="str">
        <f>IF(COUNT(E32:H32)&lt;4,"",ROUND(E32*Rubric!$B$5+F32*Rubric!$B$6+G32*Rubric!$B$7+H32*Rubric!$B$8,2))</f>
        <v/>
      </c>
      <c r="J32" s="10" t="str">
        <f t="shared" si="0"/>
        <v/>
      </c>
      <c r="K32" s="19" t="s">
        <v>140</v>
      </c>
      <c r="L32" s="19" t="s">
        <v>145</v>
      </c>
    </row>
    <row r="33" spans="1:12" ht="15" customHeight="1" x14ac:dyDescent="0.3">
      <c r="A33" s="10" t="s">
        <v>90</v>
      </c>
      <c r="B33" s="10">
        <v>2</v>
      </c>
      <c r="C33" s="18" t="str">
        <f>Summary!$A$6</f>
        <v>Model B</v>
      </c>
      <c r="D33" s="19"/>
      <c r="E33" s="20"/>
      <c r="F33" s="20"/>
      <c r="G33" s="20"/>
      <c r="H33" s="20"/>
      <c r="I33" s="9" t="str">
        <f>IF(COUNT(E33:H33)&lt;4,"",ROUND(E33*Rubric!$B$5+F33*Rubric!$B$6+G33*Rubric!$B$7+H33*Rubric!$B$8,2))</f>
        <v/>
      </c>
      <c r="J33" s="10" t="str">
        <f t="shared" si="0"/>
        <v/>
      </c>
      <c r="K33" s="19" t="s">
        <v>140</v>
      </c>
      <c r="L33" s="19" t="s">
        <v>145</v>
      </c>
    </row>
    <row r="34" spans="1:12" ht="15" customHeight="1" x14ac:dyDescent="0.3">
      <c r="A34" s="10" t="s">
        <v>90</v>
      </c>
      <c r="B34" s="10">
        <v>2</v>
      </c>
      <c r="C34" s="18" t="str">
        <f>Summary!$A$7</f>
        <v>Model C</v>
      </c>
      <c r="D34" s="19"/>
      <c r="E34" s="20"/>
      <c r="F34" s="20"/>
      <c r="G34" s="20"/>
      <c r="H34" s="20"/>
      <c r="I34" s="9" t="str">
        <f>IF(COUNT(E34:H34)&lt;4,"",ROUND(E34*Rubric!$B$5+F34*Rubric!$B$6+G34*Rubric!$B$7+H34*Rubric!$B$8,2))</f>
        <v/>
      </c>
      <c r="J34" s="10" t="str">
        <f t="shared" si="0"/>
        <v/>
      </c>
      <c r="K34" s="19" t="s">
        <v>140</v>
      </c>
      <c r="L34" s="19" t="s">
        <v>145</v>
      </c>
    </row>
    <row r="35" spans="1:12" ht="15" customHeight="1" x14ac:dyDescent="0.3">
      <c r="A35" s="10" t="s">
        <v>91</v>
      </c>
      <c r="B35" s="10">
        <v>3</v>
      </c>
      <c r="C35" s="18" t="str">
        <f>Summary!$A$5</f>
        <v>Model A</v>
      </c>
      <c r="D35" s="19"/>
      <c r="E35" s="20"/>
      <c r="F35" s="20"/>
      <c r="G35" s="20"/>
      <c r="H35" s="20"/>
      <c r="I35" s="9" t="str">
        <f>IF(COUNT(E35:H35)&lt;4,"",ROUND(E35*Rubric!$B$5+F35*Rubric!$B$6+G35*Rubric!$B$7+H35*Rubric!$B$8,2))</f>
        <v/>
      </c>
      <c r="J35" s="10" t="str">
        <f t="shared" si="0"/>
        <v/>
      </c>
      <c r="K35" s="19" t="s">
        <v>146</v>
      </c>
      <c r="L35" s="19" t="s">
        <v>147</v>
      </c>
    </row>
    <row r="36" spans="1:12" ht="15" customHeight="1" x14ac:dyDescent="0.3">
      <c r="A36" s="10" t="s">
        <v>91</v>
      </c>
      <c r="B36" s="10">
        <v>3</v>
      </c>
      <c r="C36" s="18" t="str">
        <f>Summary!$A$6</f>
        <v>Model B</v>
      </c>
      <c r="D36" s="19"/>
      <c r="E36" s="20"/>
      <c r="F36" s="20"/>
      <c r="G36" s="20"/>
      <c r="H36" s="20"/>
      <c r="I36" s="9" t="str">
        <f>IF(COUNT(E36:H36)&lt;4,"",ROUND(E36*Rubric!$B$5+F36*Rubric!$B$6+G36*Rubric!$B$7+H36*Rubric!$B$8,2))</f>
        <v/>
      </c>
      <c r="J36" s="10" t="str">
        <f t="shared" si="0"/>
        <v/>
      </c>
      <c r="K36" s="19" t="s">
        <v>146</v>
      </c>
      <c r="L36" s="19" t="s">
        <v>147</v>
      </c>
    </row>
    <row r="37" spans="1:12" ht="15" customHeight="1" x14ac:dyDescent="0.3">
      <c r="A37" s="10" t="s">
        <v>91</v>
      </c>
      <c r="B37" s="10">
        <v>3</v>
      </c>
      <c r="C37" s="18" t="str">
        <f>Summary!$A$7</f>
        <v>Model C</v>
      </c>
      <c r="D37" s="19"/>
      <c r="E37" s="20"/>
      <c r="F37" s="20"/>
      <c r="G37" s="20"/>
      <c r="H37" s="20"/>
      <c r="I37" s="9" t="str">
        <f>IF(COUNT(E37:H37)&lt;4,"",ROUND(E37*Rubric!$B$5+F37*Rubric!$B$6+G37*Rubric!$B$7+H37*Rubric!$B$8,2))</f>
        <v/>
      </c>
      <c r="J37" s="10" t="str">
        <f t="shared" ref="J37:J68" si="1">IF(I37="","",1+COUNTIFS($A$5:$A$79,A37,$I$5:$I$79,"&gt;"&amp;I37))</f>
        <v/>
      </c>
      <c r="K37" s="19" t="s">
        <v>146</v>
      </c>
      <c r="L37" s="19" t="s">
        <v>147</v>
      </c>
    </row>
    <row r="38" spans="1:12" ht="15" customHeight="1" x14ac:dyDescent="0.3">
      <c r="A38" s="10" t="s">
        <v>93</v>
      </c>
      <c r="B38" s="10">
        <v>3</v>
      </c>
      <c r="C38" s="18" t="str">
        <f>Summary!$A$5</f>
        <v>Model A</v>
      </c>
      <c r="D38" s="19"/>
      <c r="E38" s="20"/>
      <c r="F38" s="20"/>
      <c r="G38" s="20"/>
      <c r="H38" s="20"/>
      <c r="I38" s="9" t="str">
        <f>IF(COUNT(E38:H38)&lt;4,"",ROUND(E38*Rubric!$B$5+F38*Rubric!$B$6+G38*Rubric!$B$7+H38*Rubric!$B$8,2))</f>
        <v/>
      </c>
      <c r="J38" s="10" t="str">
        <f t="shared" si="1"/>
        <v/>
      </c>
      <c r="K38" s="19" t="s">
        <v>146</v>
      </c>
      <c r="L38" s="19" t="s">
        <v>148</v>
      </c>
    </row>
    <row r="39" spans="1:12" ht="15" customHeight="1" x14ac:dyDescent="0.3">
      <c r="A39" s="10" t="s">
        <v>93</v>
      </c>
      <c r="B39" s="10">
        <v>3</v>
      </c>
      <c r="C39" s="18" t="str">
        <f>Summary!$A$6</f>
        <v>Model B</v>
      </c>
      <c r="D39" s="19"/>
      <c r="E39" s="20"/>
      <c r="F39" s="20"/>
      <c r="G39" s="20"/>
      <c r="H39" s="20"/>
      <c r="I39" s="9" t="str">
        <f>IF(COUNT(E39:H39)&lt;4,"",ROUND(E39*Rubric!$B$5+F39*Rubric!$B$6+G39*Rubric!$B$7+H39*Rubric!$B$8,2))</f>
        <v/>
      </c>
      <c r="J39" s="10" t="str">
        <f t="shared" si="1"/>
        <v/>
      </c>
      <c r="K39" s="19" t="s">
        <v>146</v>
      </c>
      <c r="L39" s="19" t="s">
        <v>148</v>
      </c>
    </row>
    <row r="40" spans="1:12" ht="15" customHeight="1" x14ac:dyDescent="0.3">
      <c r="A40" s="10" t="s">
        <v>93</v>
      </c>
      <c r="B40" s="10">
        <v>3</v>
      </c>
      <c r="C40" s="18" t="str">
        <f>Summary!$A$7</f>
        <v>Model C</v>
      </c>
      <c r="D40" s="19"/>
      <c r="E40" s="20"/>
      <c r="F40" s="20"/>
      <c r="G40" s="20"/>
      <c r="H40" s="20"/>
      <c r="I40" s="9" t="str">
        <f>IF(COUNT(E40:H40)&lt;4,"",ROUND(E40*Rubric!$B$5+F40*Rubric!$B$6+G40*Rubric!$B$7+H40*Rubric!$B$8,2))</f>
        <v/>
      </c>
      <c r="J40" s="10" t="str">
        <f t="shared" si="1"/>
        <v/>
      </c>
      <c r="K40" s="19" t="s">
        <v>146</v>
      </c>
      <c r="L40" s="19" t="s">
        <v>148</v>
      </c>
    </row>
    <row r="41" spans="1:12" ht="15" customHeight="1" x14ac:dyDescent="0.3">
      <c r="A41" s="10" t="s">
        <v>94</v>
      </c>
      <c r="B41" s="10">
        <v>3</v>
      </c>
      <c r="C41" s="18" t="str">
        <f>Summary!$A$5</f>
        <v>Model A</v>
      </c>
      <c r="D41" s="19"/>
      <c r="E41" s="20"/>
      <c r="F41" s="20"/>
      <c r="G41" s="20"/>
      <c r="H41" s="20"/>
      <c r="I41" s="9" t="str">
        <f>IF(COUNT(E41:H41)&lt;4,"",ROUND(E41*Rubric!$B$5+F41*Rubric!$B$6+G41*Rubric!$B$7+H41*Rubric!$B$8,2))</f>
        <v/>
      </c>
      <c r="J41" s="10" t="str">
        <f t="shared" si="1"/>
        <v/>
      </c>
      <c r="K41" s="19" t="s">
        <v>146</v>
      </c>
      <c r="L41" s="19" t="s">
        <v>149</v>
      </c>
    </row>
    <row r="42" spans="1:12" ht="15" customHeight="1" x14ac:dyDescent="0.3">
      <c r="A42" s="10" t="s">
        <v>94</v>
      </c>
      <c r="B42" s="10">
        <v>3</v>
      </c>
      <c r="C42" s="18" t="str">
        <f>Summary!$A$6</f>
        <v>Model B</v>
      </c>
      <c r="D42" s="19"/>
      <c r="E42" s="20"/>
      <c r="F42" s="20"/>
      <c r="G42" s="20"/>
      <c r="H42" s="20"/>
      <c r="I42" s="9" t="str">
        <f>IF(COUNT(E42:H42)&lt;4,"",ROUND(E42*Rubric!$B$5+F42*Rubric!$B$6+G42*Rubric!$B$7+H42*Rubric!$B$8,2))</f>
        <v/>
      </c>
      <c r="J42" s="10" t="str">
        <f t="shared" si="1"/>
        <v/>
      </c>
      <c r="K42" s="19" t="s">
        <v>146</v>
      </c>
      <c r="L42" s="19" t="s">
        <v>149</v>
      </c>
    </row>
    <row r="43" spans="1:12" ht="15" customHeight="1" x14ac:dyDescent="0.3">
      <c r="A43" s="10" t="s">
        <v>94</v>
      </c>
      <c r="B43" s="10">
        <v>3</v>
      </c>
      <c r="C43" s="18" t="str">
        <f>Summary!$A$7</f>
        <v>Model C</v>
      </c>
      <c r="D43" s="19"/>
      <c r="E43" s="20"/>
      <c r="F43" s="20"/>
      <c r="G43" s="20"/>
      <c r="H43" s="20"/>
      <c r="I43" s="9" t="str">
        <f>IF(COUNT(E43:H43)&lt;4,"",ROUND(E43*Rubric!$B$5+F43*Rubric!$B$6+G43*Rubric!$B$7+H43*Rubric!$B$8,2))</f>
        <v/>
      </c>
      <c r="J43" s="10" t="str">
        <f t="shared" si="1"/>
        <v/>
      </c>
      <c r="K43" s="19" t="s">
        <v>146</v>
      </c>
      <c r="L43" s="19" t="s">
        <v>149</v>
      </c>
    </row>
    <row r="44" spans="1:12" ht="15" customHeight="1" x14ac:dyDescent="0.3">
      <c r="A44" s="10" t="s">
        <v>95</v>
      </c>
      <c r="B44" s="10">
        <v>3</v>
      </c>
      <c r="C44" s="18" t="str">
        <f>Summary!$A$5</f>
        <v>Model A</v>
      </c>
      <c r="D44" s="19"/>
      <c r="E44" s="20"/>
      <c r="F44" s="20"/>
      <c r="G44" s="20"/>
      <c r="H44" s="20"/>
      <c r="I44" s="9" t="str">
        <f>IF(COUNT(E44:H44)&lt;4,"",ROUND(E44*Rubric!$B$5+F44*Rubric!$B$6+G44*Rubric!$B$7+H44*Rubric!$B$8,2))</f>
        <v/>
      </c>
      <c r="J44" s="10" t="str">
        <f t="shared" si="1"/>
        <v/>
      </c>
      <c r="K44" s="19" t="s">
        <v>146</v>
      </c>
      <c r="L44" s="19" t="s">
        <v>150</v>
      </c>
    </row>
    <row r="45" spans="1:12" ht="15" customHeight="1" x14ac:dyDescent="0.3">
      <c r="A45" s="10" t="s">
        <v>95</v>
      </c>
      <c r="B45" s="10">
        <v>3</v>
      </c>
      <c r="C45" s="18" t="str">
        <f>Summary!$A$6</f>
        <v>Model B</v>
      </c>
      <c r="D45" s="19"/>
      <c r="E45" s="20"/>
      <c r="F45" s="20"/>
      <c r="G45" s="20"/>
      <c r="H45" s="20"/>
      <c r="I45" s="9" t="str">
        <f>IF(COUNT(E45:H45)&lt;4,"",ROUND(E45*Rubric!$B$5+F45*Rubric!$B$6+G45*Rubric!$B$7+H45*Rubric!$B$8,2))</f>
        <v/>
      </c>
      <c r="J45" s="10" t="str">
        <f t="shared" si="1"/>
        <v/>
      </c>
      <c r="K45" s="19" t="s">
        <v>146</v>
      </c>
      <c r="L45" s="19" t="s">
        <v>150</v>
      </c>
    </row>
    <row r="46" spans="1:12" ht="15" customHeight="1" x14ac:dyDescent="0.3">
      <c r="A46" s="10" t="s">
        <v>95</v>
      </c>
      <c r="B46" s="10">
        <v>3</v>
      </c>
      <c r="C46" s="18" t="str">
        <f>Summary!$A$7</f>
        <v>Model C</v>
      </c>
      <c r="D46" s="19"/>
      <c r="E46" s="20"/>
      <c r="F46" s="20"/>
      <c r="G46" s="20"/>
      <c r="H46" s="20"/>
      <c r="I46" s="9" t="str">
        <f>IF(COUNT(E46:H46)&lt;4,"",ROUND(E46*Rubric!$B$5+F46*Rubric!$B$6+G46*Rubric!$B$7+H46*Rubric!$B$8,2))</f>
        <v/>
      </c>
      <c r="J46" s="10" t="str">
        <f t="shared" si="1"/>
        <v/>
      </c>
      <c r="K46" s="19" t="s">
        <v>146</v>
      </c>
      <c r="L46" s="19" t="s">
        <v>150</v>
      </c>
    </row>
    <row r="47" spans="1:12" ht="15" customHeight="1" x14ac:dyDescent="0.3">
      <c r="A47" s="10" t="s">
        <v>96</v>
      </c>
      <c r="B47" s="10">
        <v>3</v>
      </c>
      <c r="C47" s="18" t="str">
        <f>Summary!$A$5</f>
        <v>Model A</v>
      </c>
      <c r="D47" s="19"/>
      <c r="E47" s="20"/>
      <c r="F47" s="20"/>
      <c r="G47" s="20"/>
      <c r="H47" s="20"/>
      <c r="I47" s="9" t="str">
        <f>IF(COUNT(E47:H47)&lt;4,"",ROUND(E47*Rubric!$B$5+F47*Rubric!$B$6+G47*Rubric!$B$7+H47*Rubric!$B$8,2))</f>
        <v/>
      </c>
      <c r="J47" s="10" t="str">
        <f t="shared" si="1"/>
        <v/>
      </c>
      <c r="K47" s="19" t="s">
        <v>146</v>
      </c>
      <c r="L47" s="19" t="s">
        <v>151</v>
      </c>
    </row>
    <row r="48" spans="1:12" ht="15" customHeight="1" x14ac:dyDescent="0.3">
      <c r="A48" s="10" t="s">
        <v>96</v>
      </c>
      <c r="B48" s="10">
        <v>3</v>
      </c>
      <c r="C48" s="18" t="str">
        <f>Summary!$A$6</f>
        <v>Model B</v>
      </c>
      <c r="D48" s="19"/>
      <c r="E48" s="20"/>
      <c r="F48" s="20"/>
      <c r="G48" s="20"/>
      <c r="H48" s="20"/>
      <c r="I48" s="9" t="str">
        <f>IF(COUNT(E48:H48)&lt;4,"",ROUND(E48*Rubric!$B$5+F48*Rubric!$B$6+G48*Rubric!$B$7+H48*Rubric!$B$8,2))</f>
        <v/>
      </c>
      <c r="J48" s="10" t="str">
        <f t="shared" si="1"/>
        <v/>
      </c>
      <c r="K48" s="19" t="s">
        <v>146</v>
      </c>
      <c r="L48" s="19" t="s">
        <v>151</v>
      </c>
    </row>
    <row r="49" spans="1:12" ht="15" customHeight="1" x14ac:dyDescent="0.3">
      <c r="A49" s="10" t="s">
        <v>96</v>
      </c>
      <c r="B49" s="10">
        <v>3</v>
      </c>
      <c r="C49" s="18" t="str">
        <f>Summary!$A$7</f>
        <v>Model C</v>
      </c>
      <c r="D49" s="19"/>
      <c r="E49" s="20"/>
      <c r="F49" s="20"/>
      <c r="G49" s="20"/>
      <c r="H49" s="20"/>
      <c r="I49" s="9" t="str">
        <f>IF(COUNT(E49:H49)&lt;4,"",ROUND(E49*Rubric!$B$5+F49*Rubric!$B$6+G49*Rubric!$B$7+H49*Rubric!$B$8,2))</f>
        <v/>
      </c>
      <c r="J49" s="10" t="str">
        <f t="shared" si="1"/>
        <v/>
      </c>
      <c r="K49" s="19" t="s">
        <v>146</v>
      </c>
      <c r="L49" s="19" t="s">
        <v>151</v>
      </c>
    </row>
    <row r="50" spans="1:12" ht="15" customHeight="1" x14ac:dyDescent="0.3">
      <c r="A50" s="10" t="s">
        <v>97</v>
      </c>
      <c r="B50" s="10">
        <v>4</v>
      </c>
      <c r="C50" s="18" t="str">
        <f>Summary!$A$5</f>
        <v>Model A</v>
      </c>
      <c r="D50" s="19"/>
      <c r="E50" s="20"/>
      <c r="F50" s="20"/>
      <c r="G50" s="20"/>
      <c r="H50" s="20"/>
      <c r="I50" s="9" t="str">
        <f>IF(COUNT(E50:H50)&lt;4,"",ROUND(E50*Rubric!$B$5+F50*Rubric!$B$6+G50*Rubric!$B$7+H50*Rubric!$B$8,2))</f>
        <v/>
      </c>
      <c r="J50" s="10" t="str">
        <f t="shared" si="1"/>
        <v/>
      </c>
      <c r="K50" s="19" t="s">
        <v>152</v>
      </c>
      <c r="L50" s="19" t="s">
        <v>153</v>
      </c>
    </row>
    <row r="51" spans="1:12" ht="15" customHeight="1" x14ac:dyDescent="0.3">
      <c r="A51" s="10" t="s">
        <v>97</v>
      </c>
      <c r="B51" s="10">
        <v>4</v>
      </c>
      <c r="C51" s="18" t="str">
        <f>Summary!$A$6</f>
        <v>Model B</v>
      </c>
      <c r="D51" s="19"/>
      <c r="E51" s="20"/>
      <c r="F51" s="20"/>
      <c r="G51" s="20"/>
      <c r="H51" s="20"/>
      <c r="I51" s="9" t="str">
        <f>IF(COUNT(E51:H51)&lt;4,"",ROUND(E51*Rubric!$B$5+F51*Rubric!$B$6+G51*Rubric!$B$7+H51*Rubric!$B$8,2))</f>
        <v/>
      </c>
      <c r="J51" s="10" t="str">
        <f t="shared" si="1"/>
        <v/>
      </c>
      <c r="K51" s="19" t="s">
        <v>152</v>
      </c>
      <c r="L51" s="19" t="s">
        <v>153</v>
      </c>
    </row>
    <row r="52" spans="1:12" ht="15" customHeight="1" x14ac:dyDescent="0.3">
      <c r="A52" s="10" t="s">
        <v>97</v>
      </c>
      <c r="B52" s="10">
        <v>4</v>
      </c>
      <c r="C52" s="18" t="str">
        <f>Summary!$A$7</f>
        <v>Model C</v>
      </c>
      <c r="D52" s="19"/>
      <c r="E52" s="20"/>
      <c r="F52" s="20"/>
      <c r="G52" s="20"/>
      <c r="H52" s="20"/>
      <c r="I52" s="9" t="str">
        <f>IF(COUNT(E52:H52)&lt;4,"",ROUND(E52*Rubric!$B$5+F52*Rubric!$B$6+G52*Rubric!$B$7+H52*Rubric!$B$8,2))</f>
        <v/>
      </c>
      <c r="J52" s="10" t="str">
        <f t="shared" si="1"/>
        <v/>
      </c>
      <c r="K52" s="19" t="s">
        <v>152</v>
      </c>
      <c r="L52" s="19" t="s">
        <v>153</v>
      </c>
    </row>
    <row r="53" spans="1:12" ht="15" customHeight="1" x14ac:dyDescent="0.3">
      <c r="A53" s="10" t="s">
        <v>99</v>
      </c>
      <c r="B53" s="10">
        <v>4</v>
      </c>
      <c r="C53" s="18" t="str">
        <f>Summary!$A$5</f>
        <v>Model A</v>
      </c>
      <c r="D53" s="19"/>
      <c r="E53" s="20"/>
      <c r="F53" s="20"/>
      <c r="G53" s="20"/>
      <c r="H53" s="20"/>
      <c r="I53" s="9" t="str">
        <f>IF(COUNT(E53:H53)&lt;4,"",ROUND(E53*Rubric!$B$5+F53*Rubric!$B$6+G53*Rubric!$B$7+H53*Rubric!$B$8,2))</f>
        <v/>
      </c>
      <c r="J53" s="10" t="str">
        <f t="shared" si="1"/>
        <v/>
      </c>
      <c r="K53" s="19" t="s">
        <v>152</v>
      </c>
      <c r="L53" s="19" t="s">
        <v>154</v>
      </c>
    </row>
    <row r="54" spans="1:12" ht="15" customHeight="1" x14ac:dyDescent="0.3">
      <c r="A54" s="10" t="s">
        <v>99</v>
      </c>
      <c r="B54" s="10">
        <v>4</v>
      </c>
      <c r="C54" s="18" t="str">
        <f>Summary!$A$6</f>
        <v>Model B</v>
      </c>
      <c r="D54" s="19"/>
      <c r="E54" s="20"/>
      <c r="F54" s="20"/>
      <c r="G54" s="20"/>
      <c r="H54" s="20"/>
      <c r="I54" s="9" t="str">
        <f>IF(COUNT(E54:H54)&lt;4,"",ROUND(E54*Rubric!$B$5+F54*Rubric!$B$6+G54*Rubric!$B$7+H54*Rubric!$B$8,2))</f>
        <v/>
      </c>
      <c r="J54" s="10" t="str">
        <f t="shared" si="1"/>
        <v/>
      </c>
      <c r="K54" s="19" t="s">
        <v>152</v>
      </c>
      <c r="L54" s="19" t="s">
        <v>154</v>
      </c>
    </row>
    <row r="55" spans="1:12" ht="15" customHeight="1" x14ac:dyDescent="0.3">
      <c r="A55" s="10" t="s">
        <v>99</v>
      </c>
      <c r="B55" s="10">
        <v>4</v>
      </c>
      <c r="C55" s="18" t="str">
        <f>Summary!$A$7</f>
        <v>Model C</v>
      </c>
      <c r="D55" s="19"/>
      <c r="E55" s="20"/>
      <c r="F55" s="20"/>
      <c r="G55" s="20"/>
      <c r="H55" s="20"/>
      <c r="I55" s="9" t="str">
        <f>IF(COUNT(E55:H55)&lt;4,"",ROUND(E55*Rubric!$B$5+F55*Rubric!$B$6+G55*Rubric!$B$7+H55*Rubric!$B$8,2))</f>
        <v/>
      </c>
      <c r="J55" s="10" t="str">
        <f t="shared" si="1"/>
        <v/>
      </c>
      <c r="K55" s="19" t="s">
        <v>152</v>
      </c>
      <c r="L55" s="19" t="s">
        <v>154</v>
      </c>
    </row>
    <row r="56" spans="1:12" ht="15" customHeight="1" x14ac:dyDescent="0.3">
      <c r="A56" s="10" t="s">
        <v>100</v>
      </c>
      <c r="B56" s="10">
        <v>4</v>
      </c>
      <c r="C56" s="18" t="str">
        <f>Summary!$A$5</f>
        <v>Model A</v>
      </c>
      <c r="D56" s="19"/>
      <c r="E56" s="20"/>
      <c r="F56" s="20"/>
      <c r="G56" s="20"/>
      <c r="H56" s="20"/>
      <c r="I56" s="9" t="str">
        <f>IF(COUNT(E56:H56)&lt;4,"",ROUND(E56*Rubric!$B$5+F56*Rubric!$B$6+G56*Rubric!$B$7+H56*Rubric!$B$8,2))</f>
        <v/>
      </c>
      <c r="J56" s="10" t="str">
        <f t="shared" si="1"/>
        <v/>
      </c>
      <c r="K56" s="19" t="s">
        <v>152</v>
      </c>
      <c r="L56" s="19" t="s">
        <v>155</v>
      </c>
    </row>
    <row r="57" spans="1:12" ht="15" customHeight="1" x14ac:dyDescent="0.3">
      <c r="A57" s="10" t="s">
        <v>100</v>
      </c>
      <c r="B57" s="10">
        <v>4</v>
      </c>
      <c r="C57" s="18" t="str">
        <f>Summary!$A$6</f>
        <v>Model B</v>
      </c>
      <c r="D57" s="19"/>
      <c r="E57" s="20"/>
      <c r="F57" s="20"/>
      <c r="G57" s="20"/>
      <c r="H57" s="20"/>
      <c r="I57" s="9" t="str">
        <f>IF(COUNT(E57:H57)&lt;4,"",ROUND(E57*Rubric!$B$5+F57*Rubric!$B$6+G57*Rubric!$B$7+H57*Rubric!$B$8,2))</f>
        <v/>
      </c>
      <c r="J57" s="10" t="str">
        <f t="shared" si="1"/>
        <v/>
      </c>
      <c r="K57" s="19" t="s">
        <v>152</v>
      </c>
      <c r="L57" s="19" t="s">
        <v>155</v>
      </c>
    </row>
    <row r="58" spans="1:12" ht="15" customHeight="1" x14ac:dyDescent="0.3">
      <c r="A58" s="10" t="s">
        <v>100</v>
      </c>
      <c r="B58" s="10">
        <v>4</v>
      </c>
      <c r="C58" s="18" t="str">
        <f>Summary!$A$7</f>
        <v>Model C</v>
      </c>
      <c r="D58" s="19"/>
      <c r="E58" s="20"/>
      <c r="F58" s="20"/>
      <c r="G58" s="20"/>
      <c r="H58" s="20"/>
      <c r="I58" s="9" t="str">
        <f>IF(COUNT(E58:H58)&lt;4,"",ROUND(E58*Rubric!$B$5+F58*Rubric!$B$6+G58*Rubric!$B$7+H58*Rubric!$B$8,2))</f>
        <v/>
      </c>
      <c r="J58" s="10" t="str">
        <f t="shared" si="1"/>
        <v/>
      </c>
      <c r="K58" s="19" t="s">
        <v>152</v>
      </c>
      <c r="L58" s="19" t="s">
        <v>155</v>
      </c>
    </row>
    <row r="59" spans="1:12" ht="15" customHeight="1" x14ac:dyDescent="0.3">
      <c r="A59" s="10" t="s">
        <v>101</v>
      </c>
      <c r="B59" s="10">
        <v>4</v>
      </c>
      <c r="C59" s="18" t="str">
        <f>Summary!$A$5</f>
        <v>Model A</v>
      </c>
      <c r="D59" s="19"/>
      <c r="E59" s="20"/>
      <c r="F59" s="20"/>
      <c r="G59" s="20"/>
      <c r="H59" s="20"/>
      <c r="I59" s="9" t="str">
        <f>IF(COUNT(E59:H59)&lt;4,"",ROUND(E59*Rubric!$B$5+F59*Rubric!$B$6+G59*Rubric!$B$7+H59*Rubric!$B$8,2))</f>
        <v/>
      </c>
      <c r="J59" s="10" t="str">
        <f t="shared" si="1"/>
        <v/>
      </c>
      <c r="K59" s="19" t="s">
        <v>152</v>
      </c>
      <c r="L59" s="19" t="s">
        <v>156</v>
      </c>
    </row>
    <row r="60" spans="1:12" ht="15" customHeight="1" x14ac:dyDescent="0.3">
      <c r="A60" s="10" t="s">
        <v>101</v>
      </c>
      <c r="B60" s="10">
        <v>4</v>
      </c>
      <c r="C60" s="18" t="str">
        <f>Summary!$A$6</f>
        <v>Model B</v>
      </c>
      <c r="D60" s="19"/>
      <c r="E60" s="20"/>
      <c r="F60" s="20"/>
      <c r="G60" s="20"/>
      <c r="H60" s="20"/>
      <c r="I60" s="9" t="str">
        <f>IF(COUNT(E60:H60)&lt;4,"",ROUND(E60*Rubric!$B$5+F60*Rubric!$B$6+G60*Rubric!$B$7+H60*Rubric!$B$8,2))</f>
        <v/>
      </c>
      <c r="J60" s="10" t="str">
        <f t="shared" si="1"/>
        <v/>
      </c>
      <c r="K60" s="19" t="s">
        <v>152</v>
      </c>
      <c r="L60" s="19" t="s">
        <v>156</v>
      </c>
    </row>
    <row r="61" spans="1:12" ht="15" customHeight="1" x14ac:dyDescent="0.3">
      <c r="A61" s="10" t="s">
        <v>101</v>
      </c>
      <c r="B61" s="10">
        <v>4</v>
      </c>
      <c r="C61" s="18" t="str">
        <f>Summary!$A$7</f>
        <v>Model C</v>
      </c>
      <c r="D61" s="19"/>
      <c r="E61" s="20"/>
      <c r="F61" s="20"/>
      <c r="G61" s="20"/>
      <c r="H61" s="20"/>
      <c r="I61" s="9" t="str">
        <f>IF(COUNT(E61:H61)&lt;4,"",ROUND(E61*Rubric!$B$5+F61*Rubric!$B$6+G61*Rubric!$B$7+H61*Rubric!$B$8,2))</f>
        <v/>
      </c>
      <c r="J61" s="10" t="str">
        <f t="shared" si="1"/>
        <v/>
      </c>
      <c r="K61" s="19" t="s">
        <v>152</v>
      </c>
      <c r="L61" s="19" t="s">
        <v>156</v>
      </c>
    </row>
    <row r="62" spans="1:12" ht="15" customHeight="1" x14ac:dyDescent="0.3">
      <c r="A62" s="10" t="s">
        <v>102</v>
      </c>
      <c r="B62" s="10">
        <v>4</v>
      </c>
      <c r="C62" s="18" t="str">
        <f>Summary!$A$5</f>
        <v>Model A</v>
      </c>
      <c r="D62" s="19"/>
      <c r="E62" s="20"/>
      <c r="F62" s="20"/>
      <c r="G62" s="20"/>
      <c r="H62" s="20"/>
      <c r="I62" s="9" t="str">
        <f>IF(COUNT(E62:H62)&lt;4,"",ROUND(E62*Rubric!$B$5+F62*Rubric!$B$6+G62*Rubric!$B$7+H62*Rubric!$B$8,2))</f>
        <v/>
      </c>
      <c r="J62" s="10" t="str">
        <f t="shared" si="1"/>
        <v/>
      </c>
      <c r="K62" s="19" t="s">
        <v>152</v>
      </c>
      <c r="L62" s="19" t="s">
        <v>157</v>
      </c>
    </row>
    <row r="63" spans="1:12" ht="15" customHeight="1" x14ac:dyDescent="0.3">
      <c r="A63" s="10" t="s">
        <v>102</v>
      </c>
      <c r="B63" s="10">
        <v>4</v>
      </c>
      <c r="C63" s="18" t="str">
        <f>Summary!$A$6</f>
        <v>Model B</v>
      </c>
      <c r="D63" s="19"/>
      <c r="E63" s="20"/>
      <c r="F63" s="20"/>
      <c r="G63" s="20"/>
      <c r="H63" s="20"/>
      <c r="I63" s="9" t="str">
        <f>IF(COUNT(E63:H63)&lt;4,"",ROUND(E63*Rubric!$B$5+F63*Rubric!$B$6+G63*Rubric!$B$7+H63*Rubric!$B$8,2))</f>
        <v/>
      </c>
      <c r="J63" s="10" t="str">
        <f t="shared" si="1"/>
        <v/>
      </c>
      <c r="K63" s="19" t="s">
        <v>152</v>
      </c>
      <c r="L63" s="19" t="s">
        <v>157</v>
      </c>
    </row>
    <row r="64" spans="1:12" ht="15" customHeight="1" x14ac:dyDescent="0.3">
      <c r="A64" s="10" t="s">
        <v>102</v>
      </c>
      <c r="B64" s="10">
        <v>4</v>
      </c>
      <c r="C64" s="18" t="str">
        <f>Summary!$A$7</f>
        <v>Model C</v>
      </c>
      <c r="D64" s="19"/>
      <c r="E64" s="20"/>
      <c r="F64" s="20"/>
      <c r="G64" s="20"/>
      <c r="H64" s="20"/>
      <c r="I64" s="9" t="str">
        <f>IF(COUNT(E64:H64)&lt;4,"",ROUND(E64*Rubric!$B$5+F64*Rubric!$B$6+G64*Rubric!$B$7+H64*Rubric!$B$8,2))</f>
        <v/>
      </c>
      <c r="J64" s="10" t="str">
        <f t="shared" si="1"/>
        <v/>
      </c>
      <c r="K64" s="19" t="s">
        <v>152</v>
      </c>
      <c r="L64" s="19" t="s">
        <v>157</v>
      </c>
    </row>
    <row r="65" spans="1:12" ht="15" customHeight="1" x14ac:dyDescent="0.3">
      <c r="A65" s="10" t="s">
        <v>103</v>
      </c>
      <c r="B65" s="10">
        <v>5</v>
      </c>
      <c r="C65" s="18" t="str">
        <f>Summary!$A$5</f>
        <v>Model A</v>
      </c>
      <c r="D65" s="19"/>
      <c r="E65" s="20"/>
      <c r="F65" s="20"/>
      <c r="G65" s="20"/>
      <c r="H65" s="20"/>
      <c r="I65" s="9" t="str">
        <f>IF(COUNT(E65:H65)&lt;4,"",ROUND(E65*Rubric!$B$5+F65*Rubric!$B$6+G65*Rubric!$B$7+H65*Rubric!$B$8,2))</f>
        <v/>
      </c>
      <c r="J65" s="10" t="str">
        <f t="shared" si="1"/>
        <v/>
      </c>
      <c r="K65" s="19" t="s">
        <v>158</v>
      </c>
      <c r="L65" s="19" t="s">
        <v>159</v>
      </c>
    </row>
    <row r="66" spans="1:12" ht="15" customHeight="1" x14ac:dyDescent="0.3">
      <c r="A66" s="10" t="s">
        <v>103</v>
      </c>
      <c r="B66" s="10">
        <v>5</v>
      </c>
      <c r="C66" s="18" t="str">
        <f>Summary!$A$6</f>
        <v>Model B</v>
      </c>
      <c r="D66" s="19"/>
      <c r="E66" s="20"/>
      <c r="F66" s="20"/>
      <c r="G66" s="20"/>
      <c r="H66" s="20"/>
      <c r="I66" s="9" t="str">
        <f>IF(COUNT(E66:H66)&lt;4,"",ROUND(E66*Rubric!$B$5+F66*Rubric!$B$6+G66*Rubric!$B$7+H66*Rubric!$B$8,2))</f>
        <v/>
      </c>
      <c r="J66" s="10" t="str">
        <f t="shared" si="1"/>
        <v/>
      </c>
      <c r="K66" s="19" t="s">
        <v>158</v>
      </c>
      <c r="L66" s="19" t="s">
        <v>159</v>
      </c>
    </row>
    <row r="67" spans="1:12" ht="15" customHeight="1" x14ac:dyDescent="0.3">
      <c r="A67" s="10" t="s">
        <v>103</v>
      </c>
      <c r="B67" s="10">
        <v>5</v>
      </c>
      <c r="C67" s="18" t="str">
        <f>Summary!$A$7</f>
        <v>Model C</v>
      </c>
      <c r="D67" s="19"/>
      <c r="E67" s="20"/>
      <c r="F67" s="20"/>
      <c r="G67" s="20"/>
      <c r="H67" s="20"/>
      <c r="I67" s="9" t="str">
        <f>IF(COUNT(E67:H67)&lt;4,"",ROUND(E67*Rubric!$B$5+F67*Rubric!$B$6+G67*Rubric!$B$7+H67*Rubric!$B$8,2))</f>
        <v/>
      </c>
      <c r="J67" s="10" t="str">
        <f t="shared" si="1"/>
        <v/>
      </c>
      <c r="K67" s="19" t="s">
        <v>158</v>
      </c>
      <c r="L67" s="19" t="s">
        <v>159</v>
      </c>
    </row>
    <row r="68" spans="1:12" ht="15" customHeight="1" x14ac:dyDescent="0.3">
      <c r="A68" s="10" t="s">
        <v>105</v>
      </c>
      <c r="B68" s="10">
        <v>5</v>
      </c>
      <c r="C68" s="18" t="str">
        <f>Summary!$A$5</f>
        <v>Model A</v>
      </c>
      <c r="D68" s="19"/>
      <c r="E68" s="20"/>
      <c r="F68" s="20"/>
      <c r="G68" s="20"/>
      <c r="H68" s="20"/>
      <c r="I68" s="9" t="str">
        <f>IF(COUNT(E68:H68)&lt;4,"",ROUND(E68*Rubric!$B$5+F68*Rubric!$B$6+G68*Rubric!$B$7+H68*Rubric!$B$8,2))</f>
        <v/>
      </c>
      <c r="J68" s="10" t="str">
        <f t="shared" si="1"/>
        <v/>
      </c>
      <c r="K68" s="19" t="s">
        <v>158</v>
      </c>
      <c r="L68" s="19" t="s">
        <v>160</v>
      </c>
    </row>
    <row r="69" spans="1:12" ht="15" customHeight="1" x14ac:dyDescent="0.3">
      <c r="A69" s="10" t="s">
        <v>105</v>
      </c>
      <c r="B69" s="10">
        <v>5</v>
      </c>
      <c r="C69" s="18" t="str">
        <f>Summary!$A$6</f>
        <v>Model B</v>
      </c>
      <c r="D69" s="19"/>
      <c r="E69" s="20"/>
      <c r="F69" s="20"/>
      <c r="G69" s="20"/>
      <c r="H69" s="20"/>
      <c r="I69" s="9" t="str">
        <f>IF(COUNT(E69:H69)&lt;4,"",ROUND(E69*Rubric!$B$5+F69*Rubric!$B$6+G69*Rubric!$B$7+H69*Rubric!$B$8,2))</f>
        <v/>
      </c>
      <c r="J69" s="10" t="str">
        <f t="shared" ref="J69:J100" si="2">IF(I69="","",1+COUNTIFS($A$5:$A$79,A69,$I$5:$I$79,"&gt;"&amp;I69))</f>
        <v/>
      </c>
      <c r="K69" s="19" t="s">
        <v>158</v>
      </c>
      <c r="L69" s="19" t="s">
        <v>160</v>
      </c>
    </row>
    <row r="70" spans="1:12" ht="15" customHeight="1" x14ac:dyDescent="0.3">
      <c r="A70" s="10" t="s">
        <v>105</v>
      </c>
      <c r="B70" s="10">
        <v>5</v>
      </c>
      <c r="C70" s="18" t="str">
        <f>Summary!$A$7</f>
        <v>Model C</v>
      </c>
      <c r="D70" s="19"/>
      <c r="E70" s="20"/>
      <c r="F70" s="20"/>
      <c r="G70" s="20"/>
      <c r="H70" s="20"/>
      <c r="I70" s="9" t="str">
        <f>IF(COUNT(E70:H70)&lt;4,"",ROUND(E70*Rubric!$B$5+F70*Rubric!$B$6+G70*Rubric!$B$7+H70*Rubric!$B$8,2))</f>
        <v/>
      </c>
      <c r="J70" s="10" t="str">
        <f t="shared" si="2"/>
        <v/>
      </c>
      <c r="K70" s="19" t="s">
        <v>158</v>
      </c>
      <c r="L70" s="19" t="s">
        <v>160</v>
      </c>
    </row>
    <row r="71" spans="1:12" ht="15" customHeight="1" x14ac:dyDescent="0.3">
      <c r="A71" s="10" t="s">
        <v>106</v>
      </c>
      <c r="B71" s="10">
        <v>5</v>
      </c>
      <c r="C71" s="18" t="str">
        <f>Summary!$A$5</f>
        <v>Model A</v>
      </c>
      <c r="D71" s="19"/>
      <c r="E71" s="20"/>
      <c r="F71" s="20"/>
      <c r="G71" s="20"/>
      <c r="H71" s="20"/>
      <c r="I71" s="9" t="str">
        <f>IF(COUNT(E71:H71)&lt;4,"",ROUND(E71*Rubric!$B$5+F71*Rubric!$B$6+G71*Rubric!$B$7+H71*Rubric!$B$8,2))</f>
        <v/>
      </c>
      <c r="J71" s="10" t="str">
        <f t="shared" si="2"/>
        <v/>
      </c>
      <c r="K71" s="19" t="s">
        <v>158</v>
      </c>
      <c r="L71" s="19" t="s">
        <v>161</v>
      </c>
    </row>
    <row r="72" spans="1:12" ht="15" customHeight="1" x14ac:dyDescent="0.3">
      <c r="A72" s="10" t="s">
        <v>106</v>
      </c>
      <c r="B72" s="10">
        <v>5</v>
      </c>
      <c r="C72" s="18" t="str">
        <f>Summary!$A$6</f>
        <v>Model B</v>
      </c>
      <c r="D72" s="19"/>
      <c r="E72" s="20"/>
      <c r="F72" s="20"/>
      <c r="G72" s="20"/>
      <c r="H72" s="20"/>
      <c r="I72" s="9" t="str">
        <f>IF(COUNT(E72:H72)&lt;4,"",ROUND(E72*Rubric!$B$5+F72*Rubric!$B$6+G72*Rubric!$B$7+H72*Rubric!$B$8,2))</f>
        <v/>
      </c>
      <c r="J72" s="10" t="str">
        <f t="shared" si="2"/>
        <v/>
      </c>
      <c r="K72" s="19" t="s">
        <v>158</v>
      </c>
      <c r="L72" s="19" t="s">
        <v>161</v>
      </c>
    </row>
    <row r="73" spans="1:12" ht="15" customHeight="1" x14ac:dyDescent="0.3">
      <c r="A73" s="10" t="s">
        <v>106</v>
      </c>
      <c r="B73" s="10">
        <v>5</v>
      </c>
      <c r="C73" s="18" t="str">
        <f>Summary!$A$7</f>
        <v>Model C</v>
      </c>
      <c r="D73" s="19"/>
      <c r="E73" s="20"/>
      <c r="F73" s="20"/>
      <c r="G73" s="20"/>
      <c r="H73" s="20"/>
      <c r="I73" s="9" t="str">
        <f>IF(COUNT(E73:H73)&lt;4,"",ROUND(E73*Rubric!$B$5+F73*Rubric!$B$6+G73*Rubric!$B$7+H73*Rubric!$B$8,2))</f>
        <v/>
      </c>
      <c r="J73" s="10" t="str">
        <f t="shared" si="2"/>
        <v/>
      </c>
      <c r="K73" s="19" t="s">
        <v>158</v>
      </c>
      <c r="L73" s="19" t="s">
        <v>161</v>
      </c>
    </row>
    <row r="74" spans="1:12" ht="15" customHeight="1" x14ac:dyDescent="0.3">
      <c r="A74" s="10" t="s">
        <v>107</v>
      </c>
      <c r="B74" s="10">
        <v>5</v>
      </c>
      <c r="C74" s="18" t="str">
        <f>Summary!$A$5</f>
        <v>Model A</v>
      </c>
      <c r="D74" s="19"/>
      <c r="E74" s="20"/>
      <c r="F74" s="20"/>
      <c r="G74" s="20"/>
      <c r="H74" s="20"/>
      <c r="I74" s="9" t="str">
        <f>IF(COUNT(E74:H74)&lt;4,"",ROUND(E74*Rubric!$B$5+F74*Rubric!$B$6+G74*Rubric!$B$7+H74*Rubric!$B$8,2))</f>
        <v/>
      </c>
      <c r="J74" s="10" t="str">
        <f t="shared" si="2"/>
        <v/>
      </c>
      <c r="K74" s="19" t="s">
        <v>158</v>
      </c>
      <c r="L74" s="19" t="s">
        <v>162</v>
      </c>
    </row>
    <row r="75" spans="1:12" ht="15" customHeight="1" x14ac:dyDescent="0.3">
      <c r="A75" s="10" t="s">
        <v>107</v>
      </c>
      <c r="B75" s="10">
        <v>5</v>
      </c>
      <c r="C75" s="18" t="str">
        <f>Summary!$A$6</f>
        <v>Model B</v>
      </c>
      <c r="D75" s="19"/>
      <c r="E75" s="20"/>
      <c r="F75" s="20"/>
      <c r="G75" s="20"/>
      <c r="H75" s="20"/>
      <c r="I75" s="9" t="str">
        <f>IF(COUNT(E75:H75)&lt;4,"",ROUND(E75*Rubric!$B$5+F75*Rubric!$B$6+G75*Rubric!$B$7+H75*Rubric!$B$8,2))</f>
        <v/>
      </c>
      <c r="J75" s="10" t="str">
        <f t="shared" si="2"/>
        <v/>
      </c>
      <c r="K75" s="19" t="s">
        <v>158</v>
      </c>
      <c r="L75" s="19" t="s">
        <v>162</v>
      </c>
    </row>
    <row r="76" spans="1:12" ht="15" customHeight="1" x14ac:dyDescent="0.3">
      <c r="A76" s="10" t="s">
        <v>107</v>
      </c>
      <c r="B76" s="10">
        <v>5</v>
      </c>
      <c r="C76" s="18" t="str">
        <f>Summary!$A$7</f>
        <v>Model C</v>
      </c>
      <c r="D76" s="19"/>
      <c r="E76" s="20"/>
      <c r="F76" s="20"/>
      <c r="G76" s="20"/>
      <c r="H76" s="20"/>
      <c r="I76" s="9" t="str">
        <f>IF(COUNT(E76:H76)&lt;4,"",ROUND(E76*Rubric!$B$5+F76*Rubric!$B$6+G76*Rubric!$B$7+H76*Rubric!$B$8,2))</f>
        <v/>
      </c>
      <c r="J76" s="10" t="str">
        <f t="shared" si="2"/>
        <v/>
      </c>
      <c r="K76" s="19" t="s">
        <v>158</v>
      </c>
      <c r="L76" s="19" t="s">
        <v>162</v>
      </c>
    </row>
    <row r="77" spans="1:12" ht="15" customHeight="1" x14ac:dyDescent="0.3">
      <c r="A77" s="10" t="s">
        <v>108</v>
      </c>
      <c r="B77" s="10">
        <v>5</v>
      </c>
      <c r="C77" s="18" t="str">
        <f>Summary!$A$5</f>
        <v>Model A</v>
      </c>
      <c r="D77" s="19"/>
      <c r="E77" s="20"/>
      <c r="F77" s="20"/>
      <c r="G77" s="20"/>
      <c r="H77" s="20"/>
      <c r="I77" s="9" t="str">
        <f>IF(COUNT(E77:H77)&lt;4,"",ROUND(E77*Rubric!$B$5+F77*Rubric!$B$6+G77*Rubric!$B$7+H77*Rubric!$B$8,2))</f>
        <v/>
      </c>
      <c r="J77" s="10" t="str">
        <f t="shared" si="2"/>
        <v/>
      </c>
      <c r="K77" s="19" t="s">
        <v>158</v>
      </c>
      <c r="L77" s="19" t="s">
        <v>163</v>
      </c>
    </row>
    <row r="78" spans="1:12" ht="15" customHeight="1" x14ac:dyDescent="0.3">
      <c r="A78" s="10" t="s">
        <v>108</v>
      </c>
      <c r="B78" s="10">
        <v>5</v>
      </c>
      <c r="C78" s="18" t="str">
        <f>Summary!$A$6</f>
        <v>Model B</v>
      </c>
      <c r="D78" s="19"/>
      <c r="E78" s="20"/>
      <c r="F78" s="20"/>
      <c r="G78" s="20"/>
      <c r="H78" s="20"/>
      <c r="I78" s="9" t="str">
        <f>IF(COUNT(E78:H78)&lt;4,"",ROUND(E78*Rubric!$B$5+F78*Rubric!$B$6+G78*Rubric!$B$7+H78*Rubric!$B$8,2))</f>
        <v/>
      </c>
      <c r="J78" s="10" t="str">
        <f t="shared" si="2"/>
        <v/>
      </c>
      <c r="K78" s="19" t="s">
        <v>158</v>
      </c>
      <c r="L78" s="19" t="s">
        <v>163</v>
      </c>
    </row>
    <row r="79" spans="1:12" ht="15" customHeight="1" x14ac:dyDescent="0.3">
      <c r="A79" s="10" t="s">
        <v>108</v>
      </c>
      <c r="B79" s="10">
        <v>5</v>
      </c>
      <c r="C79" s="18" t="str">
        <f>Summary!$A$7</f>
        <v>Model C</v>
      </c>
      <c r="D79" s="19"/>
      <c r="E79" s="20"/>
      <c r="F79" s="20"/>
      <c r="G79" s="20"/>
      <c r="H79" s="20"/>
      <c r="I79" s="9" t="str">
        <f>IF(COUNT(E79:H79)&lt;4,"",ROUND(E79*Rubric!$B$5+F79*Rubric!$B$6+G79*Rubric!$B$7+H79*Rubric!$B$8,2))</f>
        <v/>
      </c>
      <c r="J79" s="10" t="str">
        <f t="shared" si="2"/>
        <v/>
      </c>
      <c r="K79" s="19" t="s">
        <v>158</v>
      </c>
      <c r="L79" s="19" t="s">
        <v>163</v>
      </c>
    </row>
  </sheetData>
  <dataValidations count="1">
    <dataValidation type="whole" showErrorMessage="1" errorTitle="Score" error="Enter a whole number from 1 to 5" sqref="E5:H79" xr:uid="{00000000-0002-0000-05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Summary</vt:lpstr>
      <vt:lpstr>Images</vt:lpstr>
      <vt:lpstr>Prompts</vt:lpstr>
      <vt:lpstr>Rubric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 Miller</dc:creator>
  <cp:lastModifiedBy>kanyin david</cp:lastModifiedBy>
  <cp:revision>0</cp:revision>
  <dcterms:created xsi:type="dcterms:W3CDTF">2026-10-12T11:22:01Z</dcterms:created>
  <dcterms:modified xsi:type="dcterms:W3CDTF">2026-10-12T11:35:07Z</dcterms:modified>
  <dc:language>en-US</dc:language>
</cp:coreProperties>
</file>